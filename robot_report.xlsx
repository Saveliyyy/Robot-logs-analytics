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огноз" sheetId="3" state="visible" r:id="rId3"/>
    <sheet xmlns:r="http://schemas.openxmlformats.org/officeDocument/2006/relationships" name="Качество ET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color rgb="000000FF"/>
    </font>
    <font>
      <name val="Arial"/>
      <i val="1"/>
      <color rgb="00666666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5" fontId="4" fillId="3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166" fontId="2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10" fontId="6" fillId="0" borderId="1" pivotButton="0" quotePrefix="0" xfId="0"/>
    <xf numFmtId="166" fontId="6" fillId="0" borderId="1" pivotButton="0" quotePrefix="0" xfId="0"/>
    <xf numFmtId="0" fontId="7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1" fontId="2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ошибок по роботам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'Сводка'!$A$7:$A$10</f>
            </numRef>
          </cat>
          <val>
            <numRef>
              <f>'Сводка'!$D$7:$D$10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report</author>
  </authors>
  <commentList>
    <comment ref="B3" authorId="0" shapeId="0">
      <text>
        <t>Ввод пользователя. По умолчанию — весь период данных.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Metrics" displayName="DailyMetrics" ref="A1:J241" headerRowCount="1">
  <autoFilter ref="A1:J241"/>
  <tableColumns count="10">
    <tableColumn id="1" name="Дата"/>
    <tableColumn id="2" name="Робот"/>
    <tableColumn id="3" name="События"/>
    <tableColumn id="4" name="Ошибки"/>
    <tableColumn id="5" name="Предупреждения"/>
    <tableColumn id="6" name="Доля ошибок"/>
    <tableColumn id="7" name="Ср. темп., °C"/>
    <tableColumn id="8" name="Макс. темп., °C"/>
    <tableColumn id="9" name="Мин. заряд, %"/>
    <tableColumn id="10" name="p95 задержки, мс"/>
  </tableColumns>
  <tableStyleInfo name="TableStyleLight9" showRowStripes="1"/>
</table>
</file>

<file path=xl/tables/table2.xml><?xml version="1.0" encoding="utf-8"?>
<table xmlns="http://schemas.openxmlformats.org/spreadsheetml/2006/main" id="2" name="ForecastTest" displayName="ForecastTest" ref="A1:D57" headerRowCount="1">
  <autoFilter ref="A1:D57"/>
  <tableColumns count="4">
    <tableColumn id="1" name="Дата"/>
    <tableColumn id="2" name="Робот"/>
    <tableColumn id="3" name="Факт ошибок"/>
    <tableColumn id="4" name="Прогноз модели"/>
  </tableColumns>
  <tableStyleInfo name="TableStyleLight9" showRowStripes="1"/>
</table>
</file>

<file path=xl/tables/table3.xml><?xml version="1.0" encoding="utf-8"?>
<table xmlns="http://schemas.openxmlformats.org/spreadsheetml/2006/main" id="3" name="EtlQuality" displayName="EtlQuality" ref="A1:G61" headerRowCount="1">
  <autoFilter ref="A1:G61"/>
  <tableColumns count="7">
    <tableColumn id="1" name="Дата"/>
    <tableColumn id="2" name="Строк на входе"/>
    <tableColumn id="3" name="Дубли"/>
    <tableColumn id="4" name="Битые строки"/>
    <tableColumn id="5" name="Мусор в temp"/>
    <tableColumn id="6" name="Пропуски заряда"/>
    <tableColumn id="7" name="Чистых строк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3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Сводка по роботам за период</t>
        </is>
      </c>
    </row>
    <row r="3">
      <c r="A3" s="2" t="inlineStr">
        <is>
          <t>Начало периода</t>
        </is>
      </c>
      <c r="B3" s="3" t="n">
        <v>46235</v>
      </c>
      <c r="C3" s="4" t="inlineStr">
        <is>
          <t>← меняйте даты в жёлтых ячейках, сводка пересчитается</t>
        </is>
      </c>
    </row>
    <row r="4">
      <c r="A4" s="2" t="inlineStr">
        <is>
          <t>Конец периода</t>
        </is>
      </c>
      <c r="B4" s="3" t="n">
        <v>46294</v>
      </c>
    </row>
    <row r="6">
      <c r="A6" s="5" t="inlineStr">
        <is>
          <t>Робот</t>
        </is>
      </c>
      <c r="B6" s="5" t="inlineStr">
        <is>
          <t>События</t>
        </is>
      </c>
      <c r="C6" s="5" t="inlineStr">
        <is>
          <t>Ошибки</t>
        </is>
      </c>
      <c r="D6" s="5" t="inlineStr">
        <is>
          <t>Доля ошибок</t>
        </is>
      </c>
      <c r="E6" s="5" t="inlineStr">
        <is>
          <t>Ср. темп., °C</t>
        </is>
      </c>
      <c r="F6" s="5" t="inlineStr">
        <is>
          <t>Макс. темп., °C</t>
        </is>
      </c>
      <c r="G6" s="5" t="inlineStr">
        <is>
          <t>Статус</t>
        </is>
      </c>
    </row>
    <row r="7">
      <c r="A7" s="6" t="inlineStr">
        <is>
          <t>R-01</t>
        </is>
      </c>
      <c r="B7" s="7">
        <f>SUMIFS(Данные!$C$2:$C$241,Данные!$B$2:$B$241,$A7,Данные!$A$2:$A$241,"&gt;="&amp;$B$3,Данные!$A$2:$A$241,"&lt;="&amp;$B$4)</f>
        <v/>
      </c>
      <c r="C7" s="7">
        <f>SUMIFS(Данные!$D$2:$D$241,Данные!$B$2:$B$241,$A7,Данные!$A$2:$A$241,"&gt;="&amp;$B$3,Данные!$A$2:$A$241,"&lt;="&amp;$B$4)</f>
        <v/>
      </c>
      <c r="D7" s="8">
        <f>IFERROR(C7/B7,0)</f>
        <v/>
      </c>
      <c r="E7" s="9">
        <f>IFERROR(AVERAGEIFS(Данные!$G$2:$G$241,Данные!$B$2:$B$241,$A7,Данные!$A$2:$A$241,"&gt;="&amp;$B$3,Данные!$A$2:$A$241,"&lt;="&amp;$B$4),0)</f>
        <v/>
      </c>
      <c r="F7" s="9">
        <f>_xlfn.MAXIFS(Данные!$H$2:$H$241,Данные!$B$2:$B$241,$A7,Данные!$A$2:$A$241,"&gt;="&amp;$B$3,Данные!$A$2:$A$241,"&lt;="&amp;$B$4)</f>
        <v/>
      </c>
      <c r="G7" s="2">
        <f>IF(D7&gt;2*$D$11,"Проверить","Норма")</f>
        <v/>
      </c>
    </row>
    <row r="8">
      <c r="A8" s="6" t="inlineStr">
        <is>
          <t>R-02</t>
        </is>
      </c>
      <c r="B8" s="7">
        <f>SUMIFS(Данные!$C$2:$C$241,Данные!$B$2:$B$241,$A8,Данные!$A$2:$A$241,"&gt;="&amp;$B$3,Данные!$A$2:$A$241,"&lt;="&amp;$B$4)</f>
        <v/>
      </c>
      <c r="C8" s="7">
        <f>SUMIFS(Данные!$D$2:$D$241,Данные!$B$2:$B$241,$A8,Данные!$A$2:$A$241,"&gt;="&amp;$B$3,Данные!$A$2:$A$241,"&lt;="&amp;$B$4)</f>
        <v/>
      </c>
      <c r="D8" s="8">
        <f>IFERROR(C8/B8,0)</f>
        <v/>
      </c>
      <c r="E8" s="9">
        <f>IFERROR(AVERAGEIFS(Данные!$G$2:$G$241,Данные!$B$2:$B$241,$A8,Данные!$A$2:$A$241,"&gt;="&amp;$B$3,Данные!$A$2:$A$241,"&lt;="&amp;$B$4),0)</f>
        <v/>
      </c>
      <c r="F8" s="9">
        <f>_xlfn.MAXIFS(Данные!$H$2:$H$241,Данные!$B$2:$B$241,$A8,Данные!$A$2:$A$241,"&gt;="&amp;$B$3,Данные!$A$2:$A$241,"&lt;="&amp;$B$4)</f>
        <v/>
      </c>
      <c r="G8" s="2">
        <f>IF(D8&gt;2*$D$11,"Проверить","Норма")</f>
        <v/>
      </c>
    </row>
    <row r="9">
      <c r="A9" s="6" t="inlineStr">
        <is>
          <t>R-03</t>
        </is>
      </c>
      <c r="B9" s="7">
        <f>SUMIFS(Данные!$C$2:$C$241,Данные!$B$2:$B$241,$A9,Данные!$A$2:$A$241,"&gt;="&amp;$B$3,Данные!$A$2:$A$241,"&lt;="&amp;$B$4)</f>
        <v/>
      </c>
      <c r="C9" s="7">
        <f>SUMIFS(Данные!$D$2:$D$241,Данные!$B$2:$B$241,$A9,Данные!$A$2:$A$241,"&gt;="&amp;$B$3,Данные!$A$2:$A$241,"&lt;="&amp;$B$4)</f>
        <v/>
      </c>
      <c r="D9" s="8">
        <f>IFERROR(C9/B9,0)</f>
        <v/>
      </c>
      <c r="E9" s="9">
        <f>IFERROR(AVERAGEIFS(Данные!$G$2:$G$241,Данные!$B$2:$B$241,$A9,Данные!$A$2:$A$241,"&gt;="&amp;$B$3,Данные!$A$2:$A$241,"&lt;="&amp;$B$4),0)</f>
        <v/>
      </c>
      <c r="F9" s="9">
        <f>_xlfn.MAXIFS(Данные!$H$2:$H$241,Данные!$B$2:$B$241,$A9,Данные!$A$2:$A$241,"&gt;="&amp;$B$3,Данные!$A$2:$A$241,"&lt;="&amp;$B$4)</f>
        <v/>
      </c>
      <c r="G9" s="2">
        <f>IF(D9&gt;2*$D$11,"Проверить","Норма")</f>
        <v/>
      </c>
    </row>
    <row r="10">
      <c r="A10" s="6" t="inlineStr">
        <is>
          <t>R-04</t>
        </is>
      </c>
      <c r="B10" s="7">
        <f>SUMIFS(Данные!$C$2:$C$241,Данные!$B$2:$B$241,$A10,Данные!$A$2:$A$241,"&gt;="&amp;$B$3,Данные!$A$2:$A$241,"&lt;="&amp;$B$4)</f>
        <v/>
      </c>
      <c r="C10" s="7">
        <f>SUMIFS(Данные!$D$2:$D$241,Данные!$B$2:$B$241,$A10,Данные!$A$2:$A$241,"&gt;="&amp;$B$3,Данные!$A$2:$A$241,"&lt;="&amp;$B$4)</f>
        <v/>
      </c>
      <c r="D10" s="8">
        <f>IFERROR(C10/B10,0)</f>
        <v/>
      </c>
      <c r="E10" s="9">
        <f>IFERROR(AVERAGEIFS(Данные!$G$2:$G$241,Данные!$B$2:$B$241,$A10,Данные!$A$2:$A$241,"&gt;="&amp;$B$3,Данные!$A$2:$A$241,"&lt;="&amp;$B$4),0)</f>
        <v/>
      </c>
      <c r="F10" s="9">
        <f>_xlfn.MAXIFS(Данные!$H$2:$H$241,Данные!$B$2:$B$241,$A10,Данные!$A$2:$A$241,"&gt;="&amp;$B$3,Данные!$A$2:$A$241,"&lt;="&amp;$B$4)</f>
        <v/>
      </c>
      <c r="G10" s="2">
        <f>IF(D10&gt;2*$D$11,"Проверить","Норма")</f>
        <v/>
      </c>
    </row>
    <row r="11">
      <c r="A11" s="10" t="inlineStr">
        <is>
          <t>Весь парк</t>
        </is>
      </c>
      <c r="B11" s="11">
        <f>SUM(B7:B10)</f>
        <v/>
      </c>
      <c r="C11" s="11">
        <f>SUM(C7:C10)</f>
        <v/>
      </c>
      <c r="D11" s="12">
        <f>IFERROR(C11/B11,0)</f>
        <v/>
      </c>
      <c r="E11" s="13">
        <f>AVERAGE(E7:E10)</f>
        <v/>
      </c>
      <c r="F11" s="13">
        <f>MAX(F7:F10)</f>
        <v/>
      </c>
      <c r="G11" s="4" t="inlineStr">
        <is>
          <t>Статус «Проверить»: доля ошибок робота &gt; 2× средней по парку</t>
        </is>
      </c>
    </row>
    <row r="14">
      <c r="A14" s="14" t="inlineStr">
        <is>
          <t>Быстрый поиск</t>
        </is>
      </c>
    </row>
    <row r="15">
      <c r="A15" s="2" t="inlineStr">
        <is>
          <t>Робот</t>
        </is>
      </c>
      <c r="B15" s="15" t="inlineStr">
        <is>
          <t>R-04</t>
        </is>
      </c>
    </row>
    <row r="16">
      <c r="A16" s="2" t="inlineStr">
        <is>
          <t>Дата</t>
        </is>
      </c>
      <c r="B16" s="3" t="n">
        <v>46294</v>
      </c>
    </row>
    <row r="17">
      <c r="A17" s="2" t="inlineStr">
        <is>
          <t>Ошибок в этот день</t>
        </is>
      </c>
      <c r="B17" s="16">
        <f>IFERROR(INDEX(Данные!$D$2:$D$241,MATCH(1,INDEX((Данные!$B$2:$B$241=B15)*(Данные!$A$2:$A$241=B16),0),0)),"нет данных")</f>
        <v/>
      </c>
    </row>
    <row r="18">
      <c r="A18" s="2" t="inlineStr">
        <is>
          <t>Макс. температура</t>
        </is>
      </c>
      <c r="B18" s="17">
        <f>IFERROR(INDEX(Данные!$H$2:$H$241,MATCH(1,INDEX((Данные!$B$2:$B$241=B15)*(Данные!$A$2:$A$241=B16),0),0)),"нет данных")</f>
        <v/>
      </c>
    </row>
  </sheetData>
  <conditionalFormatting sqref="D7:D10">
    <cfRule type="colorScale" priority="1">
      <colorScale>
        <cfvo type="min"/>
        <cfvo type="max"/>
        <color rgb="00E6F4EA"/>
        <color rgb="00F4C7C3"/>
      </colorScale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17" customWidth="1" min="7" max="7"/>
    <col width="19" customWidth="1" min="8" max="8"/>
    <col width="17" customWidth="1" min="9" max="9"/>
    <col width="20" customWidth="1" min="10" max="10"/>
  </cols>
  <sheetData>
    <row r="1">
      <c r="A1" s="5" t="inlineStr">
        <is>
          <t>Дата</t>
        </is>
      </c>
      <c r="B1" s="5" t="inlineStr">
        <is>
          <t>Робот</t>
        </is>
      </c>
      <c r="C1" s="5" t="inlineStr">
        <is>
          <t>События</t>
        </is>
      </c>
      <c r="D1" s="5" t="inlineStr">
        <is>
          <t>Ошибки</t>
        </is>
      </c>
      <c r="E1" s="5" t="inlineStr">
        <is>
          <t>Предупреждения</t>
        </is>
      </c>
      <c r="F1" s="5" t="inlineStr">
        <is>
          <t>Доля ошибок</t>
        </is>
      </c>
      <c r="G1" s="5" t="inlineStr">
        <is>
          <t>Ср. темп., °C</t>
        </is>
      </c>
      <c r="H1" s="5" t="inlineStr">
        <is>
          <t>Макс. темп., °C</t>
        </is>
      </c>
      <c r="I1" s="5" t="inlineStr">
        <is>
          <t>Мин. заряд, %</t>
        </is>
      </c>
      <c r="J1" s="5" t="inlineStr">
        <is>
          <t>p95 задержки, мс</t>
        </is>
      </c>
    </row>
    <row r="2">
      <c r="A2" s="18" t="n">
        <v>46235</v>
      </c>
      <c r="B2" s="16" t="inlineStr">
        <is>
          <t>R-01</t>
        </is>
      </c>
      <c r="C2" s="19" t="n">
        <v>1437</v>
      </c>
      <c r="D2" s="19" t="n">
        <v>6</v>
      </c>
      <c r="E2" s="16" t="n">
        <v>1</v>
      </c>
      <c r="F2" s="20" t="n">
        <v>0.00418</v>
      </c>
      <c r="G2" s="17" t="n">
        <v>39.83</v>
      </c>
      <c r="H2" s="17" t="n">
        <v>44</v>
      </c>
      <c r="I2" s="17" t="n">
        <v>90.90000000000001</v>
      </c>
      <c r="J2" s="21" t="n">
        <v>63</v>
      </c>
    </row>
    <row r="3">
      <c r="A3" s="18" t="n">
        <v>46235</v>
      </c>
      <c r="B3" s="16" t="inlineStr">
        <is>
          <t>R-02</t>
        </is>
      </c>
      <c r="C3" s="19" t="n">
        <v>1503</v>
      </c>
      <c r="D3" s="19" t="n">
        <v>4</v>
      </c>
      <c r="E3" s="16" t="n">
        <v>0</v>
      </c>
      <c r="F3" s="20" t="n">
        <v>0.00266</v>
      </c>
      <c r="G3" s="17" t="n">
        <v>41.97</v>
      </c>
      <c r="H3" s="17" t="n">
        <v>46.5</v>
      </c>
      <c r="I3" s="17" t="n">
        <v>94.09999999999999</v>
      </c>
      <c r="J3" s="21" t="n">
        <v>63</v>
      </c>
    </row>
    <row r="4">
      <c r="A4" s="18" t="n">
        <v>46235</v>
      </c>
      <c r="B4" s="16" t="inlineStr">
        <is>
          <t>R-03</t>
        </is>
      </c>
      <c r="C4" s="19" t="n">
        <v>1498</v>
      </c>
      <c r="D4" s="19" t="n">
        <v>7</v>
      </c>
      <c r="E4" s="16" t="n">
        <v>5</v>
      </c>
      <c r="F4" s="20" t="n">
        <v>0.004670000000000001</v>
      </c>
      <c r="G4" s="17" t="n">
        <v>42.99</v>
      </c>
      <c r="H4" s="17" t="n">
        <v>47.7</v>
      </c>
      <c r="I4" s="17" t="n">
        <v>92.7</v>
      </c>
      <c r="J4" s="21" t="n">
        <v>61.14999999999986</v>
      </c>
    </row>
    <row r="5">
      <c r="A5" s="18" t="n">
        <v>46235</v>
      </c>
      <c r="B5" s="16" t="inlineStr">
        <is>
          <t>R-04</t>
        </is>
      </c>
      <c r="C5" s="19" t="n">
        <v>1387</v>
      </c>
      <c r="D5" s="19" t="n">
        <v>3</v>
      </c>
      <c r="E5" s="16" t="n">
        <v>0</v>
      </c>
      <c r="F5" s="20" t="n">
        <v>0.00216</v>
      </c>
      <c r="G5" s="17" t="n">
        <v>40.89</v>
      </c>
      <c r="H5" s="17" t="n">
        <v>46.9</v>
      </c>
      <c r="I5" s="17" t="n">
        <v>94.2</v>
      </c>
      <c r="J5" s="21" t="n">
        <v>61.70000000000005</v>
      </c>
    </row>
    <row r="6">
      <c r="A6" s="18" t="n">
        <v>46236</v>
      </c>
      <c r="B6" s="16" t="inlineStr">
        <is>
          <t>R-01</t>
        </is>
      </c>
      <c r="C6" s="19" t="n">
        <v>1432</v>
      </c>
      <c r="D6" s="19" t="n">
        <v>9</v>
      </c>
      <c r="E6" s="16" t="n">
        <v>1</v>
      </c>
      <c r="F6" s="20" t="n">
        <v>0.00628</v>
      </c>
      <c r="G6" s="17" t="n">
        <v>39.87</v>
      </c>
      <c r="H6" s="17" t="n">
        <v>44.5</v>
      </c>
      <c r="I6" s="17" t="n">
        <v>93.90000000000001</v>
      </c>
      <c r="J6" s="21" t="n">
        <v>62.45000000000005</v>
      </c>
    </row>
    <row r="7">
      <c r="A7" s="18" t="n">
        <v>46236</v>
      </c>
      <c r="B7" s="16" t="inlineStr">
        <is>
          <t>R-02</t>
        </is>
      </c>
      <c r="C7" s="19" t="n">
        <v>1501</v>
      </c>
      <c r="D7" s="19" t="n">
        <v>7</v>
      </c>
      <c r="E7" s="16" t="n">
        <v>1</v>
      </c>
      <c r="F7" s="20" t="n">
        <v>0.00466</v>
      </c>
      <c r="G7" s="17" t="n">
        <v>41.89</v>
      </c>
      <c r="H7" s="17" t="n">
        <v>46.6</v>
      </c>
      <c r="I7" s="17" t="n">
        <v>93.7</v>
      </c>
      <c r="J7" s="21" t="n">
        <v>62</v>
      </c>
    </row>
    <row r="8">
      <c r="A8" s="18" t="n">
        <v>46236</v>
      </c>
      <c r="B8" s="16" t="inlineStr">
        <is>
          <t>R-03</t>
        </is>
      </c>
      <c r="C8" s="19" t="n">
        <v>1587</v>
      </c>
      <c r="D8" s="19" t="n">
        <v>10</v>
      </c>
      <c r="E8" s="16" t="n">
        <v>2</v>
      </c>
      <c r="F8" s="20" t="n">
        <v>0.0063</v>
      </c>
      <c r="G8" s="17" t="n">
        <v>43.06</v>
      </c>
      <c r="H8" s="17" t="n">
        <v>48.3</v>
      </c>
      <c r="I8" s="17" t="n">
        <v>92.90000000000001</v>
      </c>
      <c r="J8" s="21" t="n">
        <v>63</v>
      </c>
    </row>
    <row r="9">
      <c r="A9" s="18" t="n">
        <v>46236</v>
      </c>
      <c r="B9" s="16" t="inlineStr">
        <is>
          <t>R-04</t>
        </is>
      </c>
      <c r="C9" s="19" t="n">
        <v>1574</v>
      </c>
      <c r="D9" s="19" t="n">
        <v>8</v>
      </c>
      <c r="E9" s="16" t="n">
        <v>4</v>
      </c>
      <c r="F9" s="20" t="n">
        <v>0.00508</v>
      </c>
      <c r="G9" s="17" t="n">
        <v>40.84</v>
      </c>
      <c r="H9" s="17" t="n">
        <v>45.4</v>
      </c>
      <c r="I9" s="17" t="n">
        <v>91.8</v>
      </c>
      <c r="J9" s="21" t="n">
        <v>62</v>
      </c>
    </row>
    <row r="10">
      <c r="A10" s="18" t="n">
        <v>46237</v>
      </c>
      <c r="B10" s="16" t="inlineStr">
        <is>
          <t>R-01</t>
        </is>
      </c>
      <c r="C10" s="19" t="n">
        <v>2538</v>
      </c>
      <c r="D10" s="19" t="n">
        <v>11</v>
      </c>
      <c r="E10" s="16" t="n">
        <v>5</v>
      </c>
      <c r="F10" s="20" t="n">
        <v>0.00433</v>
      </c>
      <c r="G10" s="17" t="n">
        <v>39.9</v>
      </c>
      <c r="H10" s="17" t="n">
        <v>44.3</v>
      </c>
      <c r="I10" s="17" t="n">
        <v>89.59999999999999</v>
      </c>
      <c r="J10" s="21" t="n">
        <v>64</v>
      </c>
    </row>
    <row r="11">
      <c r="A11" s="18" t="n">
        <v>46237</v>
      </c>
      <c r="B11" s="16" t="inlineStr">
        <is>
          <t>R-02</t>
        </is>
      </c>
      <c r="C11" s="19" t="n">
        <v>2586</v>
      </c>
      <c r="D11" s="19" t="n">
        <v>13</v>
      </c>
      <c r="E11" s="16" t="n">
        <v>3</v>
      </c>
      <c r="F11" s="20" t="n">
        <v>0.00503</v>
      </c>
      <c r="G11" s="17" t="n">
        <v>41.93</v>
      </c>
      <c r="H11" s="17" t="n">
        <v>46.8</v>
      </c>
      <c r="I11" s="17" t="n">
        <v>93.09999999999999</v>
      </c>
      <c r="J11" s="21" t="n">
        <v>64</v>
      </c>
    </row>
    <row r="12">
      <c r="A12" s="18" t="n">
        <v>46237</v>
      </c>
      <c r="B12" s="16" t="inlineStr">
        <is>
          <t>R-03</t>
        </is>
      </c>
      <c r="C12" s="19" t="n">
        <v>2678</v>
      </c>
      <c r="D12" s="19" t="n">
        <v>16</v>
      </c>
      <c r="E12" s="16" t="n">
        <v>4</v>
      </c>
      <c r="F12" s="20" t="n">
        <v>0.00597</v>
      </c>
      <c r="G12" s="17" t="n">
        <v>43.23</v>
      </c>
      <c r="H12" s="17" t="n">
        <v>49.3</v>
      </c>
      <c r="I12" s="17" t="n">
        <v>93</v>
      </c>
      <c r="J12" s="21" t="n">
        <v>62</v>
      </c>
    </row>
    <row r="13">
      <c r="A13" s="18" t="n">
        <v>46237</v>
      </c>
      <c r="B13" s="16" t="inlineStr">
        <is>
          <t>R-04</t>
        </is>
      </c>
      <c r="C13" s="19" t="n">
        <v>2582</v>
      </c>
      <c r="D13" s="19" t="n">
        <v>14</v>
      </c>
      <c r="E13" s="16" t="n">
        <v>3</v>
      </c>
      <c r="F13" s="20" t="n">
        <v>0.00542</v>
      </c>
      <c r="G13" s="17" t="n">
        <v>40.86</v>
      </c>
      <c r="H13" s="17" t="n">
        <v>45.5</v>
      </c>
      <c r="I13" s="17" t="n">
        <v>93.40000000000001</v>
      </c>
      <c r="J13" s="21" t="n">
        <v>63</v>
      </c>
    </row>
    <row r="14">
      <c r="A14" s="18" t="n">
        <v>46238</v>
      </c>
      <c r="B14" s="16" t="inlineStr">
        <is>
          <t>R-01</t>
        </is>
      </c>
      <c r="C14" s="19" t="n">
        <v>2681</v>
      </c>
      <c r="D14" s="19" t="n">
        <v>11</v>
      </c>
      <c r="E14" s="16" t="n">
        <v>3</v>
      </c>
      <c r="F14" s="20" t="n">
        <v>0.004099999999999999</v>
      </c>
      <c r="G14" s="17" t="n">
        <v>39.9</v>
      </c>
      <c r="H14" s="17" t="n">
        <v>44</v>
      </c>
      <c r="I14" s="17" t="n">
        <v>91.8</v>
      </c>
      <c r="J14" s="21" t="n">
        <v>63</v>
      </c>
    </row>
    <row r="15">
      <c r="A15" s="18" t="n">
        <v>46238</v>
      </c>
      <c r="B15" s="16" t="inlineStr">
        <is>
          <t>R-02</t>
        </is>
      </c>
      <c r="C15" s="19" t="n">
        <v>2571</v>
      </c>
      <c r="D15" s="19" t="n">
        <v>13</v>
      </c>
      <c r="E15" s="16" t="n">
        <v>3</v>
      </c>
      <c r="F15" s="20" t="n">
        <v>0.00506</v>
      </c>
      <c r="G15" s="17" t="n">
        <v>41.92</v>
      </c>
      <c r="H15" s="17" t="n">
        <v>46.1</v>
      </c>
      <c r="I15" s="17" t="n">
        <v>94.5</v>
      </c>
      <c r="J15" s="21" t="n">
        <v>63</v>
      </c>
    </row>
    <row r="16">
      <c r="A16" s="18" t="n">
        <v>46238</v>
      </c>
      <c r="B16" s="16" t="inlineStr">
        <is>
          <t>R-03</t>
        </is>
      </c>
      <c r="C16" s="19" t="n">
        <v>2460</v>
      </c>
      <c r="D16" s="19" t="n">
        <v>12</v>
      </c>
      <c r="E16" s="16" t="n">
        <v>1</v>
      </c>
      <c r="F16" s="20" t="n">
        <v>0.00488</v>
      </c>
      <c r="G16" s="17" t="n">
        <v>43.35</v>
      </c>
      <c r="H16" s="17" t="n">
        <v>48.1</v>
      </c>
      <c r="I16" s="17" t="n">
        <v>91.8</v>
      </c>
      <c r="J16" s="21" t="n">
        <v>60</v>
      </c>
    </row>
    <row r="17">
      <c r="A17" s="18" t="n">
        <v>46238</v>
      </c>
      <c r="B17" s="16" t="inlineStr">
        <is>
          <t>R-04</t>
        </is>
      </c>
      <c r="C17" s="19" t="n">
        <v>2642</v>
      </c>
      <c r="D17" s="19" t="n">
        <v>10</v>
      </c>
      <c r="E17" s="16" t="n">
        <v>1</v>
      </c>
      <c r="F17" s="20" t="n">
        <v>0.00379</v>
      </c>
      <c r="G17" s="17" t="n">
        <v>40.9</v>
      </c>
      <c r="H17" s="17" t="n">
        <v>45.5</v>
      </c>
      <c r="I17" s="17" t="n">
        <v>95</v>
      </c>
      <c r="J17" s="21" t="n">
        <v>63.94999999999982</v>
      </c>
    </row>
    <row r="18">
      <c r="A18" s="18" t="n">
        <v>46239</v>
      </c>
      <c r="B18" s="16" t="inlineStr">
        <is>
          <t>R-01</t>
        </is>
      </c>
      <c r="C18" s="19" t="n">
        <v>2252</v>
      </c>
      <c r="D18" s="19" t="n">
        <v>11</v>
      </c>
      <c r="E18" s="16" t="n">
        <v>0</v>
      </c>
      <c r="F18" s="20" t="n">
        <v>0.00488</v>
      </c>
      <c r="G18" s="17" t="n">
        <v>39.94</v>
      </c>
      <c r="H18" s="17" t="n">
        <v>45.1</v>
      </c>
      <c r="I18" s="17" t="n">
        <v>94.59999999999999</v>
      </c>
      <c r="J18" s="21" t="n">
        <v>61</v>
      </c>
    </row>
    <row r="19">
      <c r="A19" s="18" t="n">
        <v>46239</v>
      </c>
      <c r="B19" s="16" t="inlineStr">
        <is>
          <t>R-02</t>
        </is>
      </c>
      <c r="C19" s="19" t="n">
        <v>2293</v>
      </c>
      <c r="D19" s="19" t="n">
        <v>10</v>
      </c>
      <c r="E19" s="16" t="n">
        <v>2</v>
      </c>
      <c r="F19" s="20" t="n">
        <v>0.00436</v>
      </c>
      <c r="G19" s="17" t="n">
        <v>41.93</v>
      </c>
      <c r="H19" s="17" t="n">
        <v>46.3</v>
      </c>
      <c r="I19" s="17" t="n">
        <v>93</v>
      </c>
      <c r="J19" s="21" t="n">
        <v>65</v>
      </c>
    </row>
    <row r="20">
      <c r="A20" s="18" t="n">
        <v>46239</v>
      </c>
      <c r="B20" s="16" t="inlineStr">
        <is>
          <t>R-03</t>
        </is>
      </c>
      <c r="C20" s="19" t="n">
        <v>2841</v>
      </c>
      <c r="D20" s="19" t="n">
        <v>26</v>
      </c>
      <c r="E20" s="16" t="n">
        <v>5</v>
      </c>
      <c r="F20" s="20" t="n">
        <v>0.00915</v>
      </c>
      <c r="G20" s="17" t="n">
        <v>43.49</v>
      </c>
      <c r="H20" s="17" t="n">
        <v>47.9</v>
      </c>
      <c r="I20" s="17" t="n">
        <v>94.2</v>
      </c>
      <c r="J20" s="21" t="n">
        <v>63</v>
      </c>
    </row>
    <row r="21">
      <c r="A21" s="18" t="n">
        <v>46239</v>
      </c>
      <c r="B21" s="16" t="inlineStr">
        <is>
          <t>R-04</t>
        </is>
      </c>
      <c r="C21" s="19" t="n">
        <v>2632</v>
      </c>
      <c r="D21" s="19" t="n">
        <v>12</v>
      </c>
      <c r="E21" s="16" t="n">
        <v>2</v>
      </c>
      <c r="F21" s="20" t="n">
        <v>0.00456</v>
      </c>
      <c r="G21" s="17" t="n">
        <v>40.86</v>
      </c>
      <c r="H21" s="17" t="n">
        <v>45.4</v>
      </c>
      <c r="I21" s="17" t="n">
        <v>93.3</v>
      </c>
      <c r="J21" s="21" t="n">
        <v>61</v>
      </c>
    </row>
    <row r="22">
      <c r="A22" s="18" t="n">
        <v>46240</v>
      </c>
      <c r="B22" s="16" t="inlineStr">
        <is>
          <t>R-01</t>
        </is>
      </c>
      <c r="C22" s="19" t="n">
        <v>2671</v>
      </c>
      <c r="D22" s="19" t="n">
        <v>14</v>
      </c>
      <c r="E22" s="16" t="n">
        <v>1</v>
      </c>
      <c r="F22" s="20" t="n">
        <v>0.00524</v>
      </c>
      <c r="G22" s="17" t="n">
        <v>39.98</v>
      </c>
      <c r="H22" s="17" t="n">
        <v>44.8</v>
      </c>
      <c r="I22" s="17" t="n">
        <v>92.40000000000001</v>
      </c>
      <c r="J22" s="21" t="n">
        <v>65</v>
      </c>
    </row>
    <row r="23">
      <c r="A23" s="18" t="n">
        <v>46240</v>
      </c>
      <c r="B23" s="16" t="inlineStr">
        <is>
          <t>R-02</t>
        </is>
      </c>
      <c r="C23" s="19" t="n">
        <v>2572</v>
      </c>
      <c r="D23" s="19" t="n">
        <v>14</v>
      </c>
      <c r="E23" s="16" t="n">
        <v>1</v>
      </c>
      <c r="F23" s="20" t="n">
        <v>0.00544</v>
      </c>
      <c r="G23" s="17" t="n">
        <v>41.86</v>
      </c>
      <c r="H23" s="17" t="n">
        <v>46.5</v>
      </c>
      <c r="I23" s="17" t="n">
        <v>91.5</v>
      </c>
      <c r="J23" s="21" t="n">
        <v>63</v>
      </c>
    </row>
    <row r="24">
      <c r="A24" s="18" t="n">
        <v>46240</v>
      </c>
      <c r="B24" s="16" t="inlineStr">
        <is>
          <t>R-03</t>
        </is>
      </c>
      <c r="C24" s="19" t="n">
        <v>2553</v>
      </c>
      <c r="D24" s="19" t="n">
        <v>9</v>
      </c>
      <c r="E24" s="16" t="n">
        <v>1</v>
      </c>
      <c r="F24" s="20" t="n">
        <v>0.00353</v>
      </c>
      <c r="G24" s="17" t="n">
        <v>43.63</v>
      </c>
      <c r="H24" s="17" t="n">
        <v>48.8</v>
      </c>
      <c r="I24" s="17" t="n">
        <v>94.3</v>
      </c>
      <c r="J24" s="21" t="n">
        <v>63</v>
      </c>
    </row>
    <row r="25">
      <c r="A25" s="18" t="n">
        <v>46240</v>
      </c>
      <c r="B25" s="16" t="inlineStr">
        <is>
          <t>R-04</t>
        </is>
      </c>
      <c r="C25" s="19" t="n">
        <v>2705</v>
      </c>
      <c r="D25" s="19" t="n">
        <v>11</v>
      </c>
      <c r="E25" s="16" t="n">
        <v>4</v>
      </c>
      <c r="F25" s="20" t="n">
        <v>0.00407</v>
      </c>
      <c r="G25" s="17" t="n">
        <v>40.92</v>
      </c>
      <c r="H25" s="17" t="n">
        <v>45.6</v>
      </c>
      <c r="I25" s="17" t="n">
        <v>91.90000000000001</v>
      </c>
      <c r="J25" s="21" t="n">
        <v>61</v>
      </c>
    </row>
    <row r="26">
      <c r="A26" s="18" t="n">
        <v>46241</v>
      </c>
      <c r="B26" s="16" t="inlineStr">
        <is>
          <t>R-01</t>
        </is>
      </c>
      <c r="C26" s="19" t="n">
        <v>2591</v>
      </c>
      <c r="D26" s="19" t="n">
        <v>12</v>
      </c>
      <c r="E26" s="16" t="n">
        <v>1</v>
      </c>
      <c r="F26" s="20" t="n">
        <v>0.00463</v>
      </c>
      <c r="G26" s="17" t="n">
        <v>39.86</v>
      </c>
      <c r="H26" s="17" t="n">
        <v>45.7</v>
      </c>
      <c r="I26" s="17" t="n">
        <v>93.5</v>
      </c>
      <c r="J26" s="21" t="n">
        <v>63</v>
      </c>
    </row>
    <row r="27">
      <c r="A27" s="18" t="n">
        <v>46241</v>
      </c>
      <c r="B27" s="16" t="inlineStr">
        <is>
          <t>R-02</t>
        </is>
      </c>
      <c r="C27" s="19" t="n">
        <v>2542</v>
      </c>
      <c r="D27" s="19" t="n">
        <v>6</v>
      </c>
      <c r="E27" s="16" t="n">
        <v>2</v>
      </c>
      <c r="F27" s="20" t="n">
        <v>0.00236</v>
      </c>
      <c r="G27" s="17" t="n">
        <v>41.89</v>
      </c>
      <c r="H27" s="17" t="n">
        <v>46.6</v>
      </c>
      <c r="I27" s="17" t="n">
        <v>93.90000000000001</v>
      </c>
      <c r="J27" s="21" t="n">
        <v>61</v>
      </c>
    </row>
    <row r="28">
      <c r="A28" s="18" t="n">
        <v>46241</v>
      </c>
      <c r="B28" s="16" t="inlineStr">
        <is>
          <t>R-03</t>
        </is>
      </c>
      <c r="C28" s="19" t="n">
        <v>2684</v>
      </c>
      <c r="D28" s="19" t="n">
        <v>24</v>
      </c>
      <c r="E28" s="16" t="n">
        <v>2</v>
      </c>
      <c r="F28" s="20" t="n">
        <v>0.00894</v>
      </c>
      <c r="G28" s="17" t="n">
        <v>43.8</v>
      </c>
      <c r="H28" s="17" t="n">
        <v>48.7</v>
      </c>
      <c r="I28" s="17" t="n">
        <v>92.59999999999999</v>
      </c>
      <c r="J28" s="21" t="n">
        <v>63</v>
      </c>
    </row>
    <row r="29">
      <c r="A29" s="18" t="n">
        <v>46241</v>
      </c>
      <c r="B29" s="16" t="inlineStr">
        <is>
          <t>R-04</t>
        </is>
      </c>
      <c r="C29" s="19" t="n">
        <v>2642</v>
      </c>
      <c r="D29" s="19" t="n">
        <v>10</v>
      </c>
      <c r="E29" s="16" t="n">
        <v>1</v>
      </c>
      <c r="F29" s="20" t="n">
        <v>0.00379</v>
      </c>
      <c r="G29" s="17" t="n">
        <v>40.89</v>
      </c>
      <c r="H29" s="17" t="n">
        <v>45.4</v>
      </c>
      <c r="I29" s="17" t="n">
        <v>94.2</v>
      </c>
      <c r="J29" s="21" t="n">
        <v>61</v>
      </c>
    </row>
    <row r="30">
      <c r="A30" s="18" t="n">
        <v>46242</v>
      </c>
      <c r="B30" s="16" t="inlineStr">
        <is>
          <t>R-01</t>
        </is>
      </c>
      <c r="C30" s="19" t="n">
        <v>1314</v>
      </c>
      <c r="D30" s="19" t="n">
        <v>1</v>
      </c>
      <c r="E30" s="16" t="n">
        <v>1</v>
      </c>
      <c r="F30" s="20" t="n">
        <v>0.0007599999999999999</v>
      </c>
      <c r="G30" s="17" t="n">
        <v>39.82</v>
      </c>
      <c r="H30" s="17" t="n">
        <v>44.7</v>
      </c>
      <c r="I30" s="17" t="n">
        <v>95</v>
      </c>
      <c r="J30" s="21" t="n">
        <v>60</v>
      </c>
    </row>
    <row r="31">
      <c r="A31" s="18" t="n">
        <v>46242</v>
      </c>
      <c r="B31" s="16" t="inlineStr">
        <is>
          <t>R-02</t>
        </is>
      </c>
      <c r="C31" s="19" t="n">
        <v>1382</v>
      </c>
      <c r="D31" s="19" t="n">
        <v>6</v>
      </c>
      <c r="E31" s="16" t="n">
        <v>1</v>
      </c>
      <c r="F31" s="20" t="n">
        <v>0.00434</v>
      </c>
      <c r="G31" s="17" t="n">
        <v>41.91</v>
      </c>
      <c r="H31" s="17" t="n">
        <v>46.7</v>
      </c>
      <c r="I31" s="17" t="n">
        <v>94.5</v>
      </c>
      <c r="J31" s="21" t="n">
        <v>60</v>
      </c>
    </row>
    <row r="32">
      <c r="A32" s="18" t="n">
        <v>46242</v>
      </c>
      <c r="B32" s="16" t="inlineStr">
        <is>
          <t>R-03</t>
        </is>
      </c>
      <c r="C32" s="19" t="n">
        <v>1515</v>
      </c>
      <c r="D32" s="19" t="n">
        <v>14</v>
      </c>
      <c r="E32" s="16" t="n">
        <v>2</v>
      </c>
      <c r="F32" s="20" t="n">
        <v>0.00924</v>
      </c>
      <c r="G32" s="17" t="n">
        <v>43.98</v>
      </c>
      <c r="H32" s="17" t="n">
        <v>48.7</v>
      </c>
      <c r="I32" s="17" t="n">
        <v>94.8</v>
      </c>
      <c r="J32" s="21" t="n">
        <v>64</v>
      </c>
    </row>
    <row r="33">
      <c r="A33" s="18" t="n">
        <v>46242</v>
      </c>
      <c r="B33" s="16" t="inlineStr">
        <is>
          <t>R-04</t>
        </is>
      </c>
      <c r="C33" s="19" t="n">
        <v>1325</v>
      </c>
      <c r="D33" s="19" t="n">
        <v>3</v>
      </c>
      <c r="E33" s="16" t="n">
        <v>1</v>
      </c>
      <c r="F33" s="20" t="n">
        <v>0.00226</v>
      </c>
      <c r="G33" s="17" t="n">
        <v>40.95</v>
      </c>
      <c r="H33" s="17" t="n">
        <v>45.1</v>
      </c>
      <c r="I33" s="17" t="n">
        <v>94.5</v>
      </c>
      <c r="J33" s="21" t="n">
        <v>60.79999999999995</v>
      </c>
    </row>
    <row r="34">
      <c r="A34" s="18" t="n">
        <v>46243</v>
      </c>
      <c r="B34" s="16" t="inlineStr">
        <is>
          <t>R-01</t>
        </is>
      </c>
      <c r="C34" s="19" t="n">
        <v>1617</v>
      </c>
      <c r="D34" s="19" t="n">
        <v>11</v>
      </c>
      <c r="E34" s="16" t="n">
        <v>0</v>
      </c>
      <c r="F34" s="20" t="n">
        <v>0.0068</v>
      </c>
      <c r="G34" s="17" t="n">
        <v>39.94</v>
      </c>
      <c r="H34" s="17" t="n">
        <v>44.9</v>
      </c>
      <c r="I34" s="17" t="n">
        <v>91.09999999999999</v>
      </c>
      <c r="J34" s="21" t="n">
        <v>61.19999999999982</v>
      </c>
    </row>
    <row r="35">
      <c r="A35" s="18" t="n">
        <v>46243</v>
      </c>
      <c r="B35" s="16" t="inlineStr">
        <is>
          <t>R-02</t>
        </is>
      </c>
      <c r="C35" s="19" t="n">
        <v>1402</v>
      </c>
      <c r="D35" s="19" t="n">
        <v>1</v>
      </c>
      <c r="E35" s="16" t="n">
        <v>0</v>
      </c>
      <c r="F35" s="20" t="n">
        <v>0.0007099999999999999</v>
      </c>
      <c r="G35" s="17" t="n">
        <v>41.88</v>
      </c>
      <c r="H35" s="17" t="n">
        <v>46.8</v>
      </c>
      <c r="I35" s="17" t="n">
        <v>96</v>
      </c>
      <c r="J35" s="21" t="n">
        <v>60</v>
      </c>
    </row>
    <row r="36">
      <c r="A36" s="18" t="n">
        <v>46243</v>
      </c>
      <c r="B36" s="16" t="inlineStr">
        <is>
          <t>R-03</t>
        </is>
      </c>
      <c r="C36" s="19" t="n">
        <v>1453</v>
      </c>
      <c r="D36" s="19" t="n">
        <v>13</v>
      </c>
      <c r="E36" s="16" t="n">
        <v>2</v>
      </c>
      <c r="F36" s="20" t="n">
        <v>0.00895</v>
      </c>
      <c r="G36" s="17" t="n">
        <v>44.11</v>
      </c>
      <c r="H36" s="17" t="n">
        <v>48.8</v>
      </c>
      <c r="I36" s="17" t="n">
        <v>93.90000000000001</v>
      </c>
      <c r="J36" s="21" t="n">
        <v>61.39999999999986</v>
      </c>
    </row>
    <row r="37">
      <c r="A37" s="18" t="n">
        <v>46243</v>
      </c>
      <c r="B37" s="16" t="inlineStr">
        <is>
          <t>R-04</t>
        </is>
      </c>
      <c r="C37" s="19" t="n">
        <v>1275</v>
      </c>
      <c r="D37" s="19" t="n">
        <v>3</v>
      </c>
      <c r="E37" s="16" t="n">
        <v>1</v>
      </c>
      <c r="F37" s="20" t="n">
        <v>0.00235</v>
      </c>
      <c r="G37" s="17" t="n">
        <v>40.9</v>
      </c>
      <c r="H37" s="17" t="n">
        <v>46.1</v>
      </c>
      <c r="I37" s="17" t="n">
        <v>92.8</v>
      </c>
      <c r="J37" s="21" t="n">
        <v>64</v>
      </c>
    </row>
    <row r="38">
      <c r="A38" s="18" t="n">
        <v>46244</v>
      </c>
      <c r="B38" s="16" t="inlineStr">
        <is>
          <t>R-01</t>
        </is>
      </c>
      <c r="C38" s="19" t="n">
        <v>2409</v>
      </c>
      <c r="D38" s="19" t="n">
        <v>7</v>
      </c>
      <c r="E38" s="16" t="n">
        <v>3</v>
      </c>
      <c r="F38" s="20" t="n">
        <v>0.00291</v>
      </c>
      <c r="G38" s="17" t="n">
        <v>39.92</v>
      </c>
      <c r="H38" s="17" t="n">
        <v>45.1</v>
      </c>
      <c r="I38" s="17" t="n">
        <v>94.09999999999999</v>
      </c>
      <c r="J38" s="21" t="n">
        <v>61</v>
      </c>
    </row>
    <row r="39">
      <c r="A39" s="18" t="n">
        <v>46244</v>
      </c>
      <c r="B39" s="16" t="inlineStr">
        <is>
          <t>R-02</t>
        </is>
      </c>
      <c r="C39" s="19" t="n">
        <v>2812</v>
      </c>
      <c r="D39" s="19" t="n">
        <v>9</v>
      </c>
      <c r="E39" s="16" t="n">
        <v>1</v>
      </c>
      <c r="F39" s="20" t="n">
        <v>0.0032</v>
      </c>
      <c r="G39" s="17" t="n">
        <v>41.9</v>
      </c>
      <c r="H39" s="17" t="n">
        <v>47.3</v>
      </c>
      <c r="I39" s="17" t="n">
        <v>95.2</v>
      </c>
      <c r="J39" s="21" t="n">
        <v>63</v>
      </c>
    </row>
    <row r="40">
      <c r="A40" s="18" t="n">
        <v>46244</v>
      </c>
      <c r="B40" s="16" t="inlineStr">
        <is>
          <t>R-03</t>
        </is>
      </c>
      <c r="C40" s="19" t="n">
        <v>2565</v>
      </c>
      <c r="D40" s="19" t="n">
        <v>20</v>
      </c>
      <c r="E40" s="16" t="n">
        <v>0</v>
      </c>
      <c r="F40" s="20" t="n">
        <v>0.007800000000000001</v>
      </c>
      <c r="G40" s="17" t="n">
        <v>44.24</v>
      </c>
      <c r="H40" s="17" t="n">
        <v>48.9</v>
      </c>
      <c r="I40" s="17" t="n">
        <v>92</v>
      </c>
      <c r="J40" s="21" t="n">
        <v>62</v>
      </c>
    </row>
    <row r="41">
      <c r="A41" s="18" t="n">
        <v>46244</v>
      </c>
      <c r="B41" s="16" t="inlineStr">
        <is>
          <t>R-04</t>
        </is>
      </c>
      <c r="C41" s="19" t="n">
        <v>2713</v>
      </c>
      <c r="D41" s="19" t="n">
        <v>10</v>
      </c>
      <c r="E41" s="16" t="n">
        <v>4</v>
      </c>
      <c r="F41" s="20" t="n">
        <v>0.00369</v>
      </c>
      <c r="G41" s="17" t="n">
        <v>40.92</v>
      </c>
      <c r="H41" s="17" t="n">
        <v>45.7</v>
      </c>
      <c r="I41" s="17" t="n">
        <v>92.7</v>
      </c>
      <c r="J41" s="21" t="n">
        <v>62</v>
      </c>
    </row>
    <row r="42">
      <c r="A42" s="18" t="n">
        <v>46245</v>
      </c>
      <c r="B42" s="16" t="inlineStr">
        <is>
          <t>R-01</t>
        </is>
      </c>
      <c r="C42" s="19" t="n">
        <v>2368</v>
      </c>
      <c r="D42" s="19" t="n">
        <v>14</v>
      </c>
      <c r="E42" s="16" t="n">
        <v>1</v>
      </c>
      <c r="F42" s="20" t="n">
        <v>0.005909999999999999</v>
      </c>
      <c r="G42" s="17" t="n">
        <v>39.89</v>
      </c>
      <c r="H42" s="17" t="n">
        <v>44.6</v>
      </c>
      <c r="I42" s="17" t="n">
        <v>94.2</v>
      </c>
      <c r="J42" s="21" t="n">
        <v>62.65000000000009</v>
      </c>
    </row>
    <row r="43">
      <c r="A43" s="18" t="n">
        <v>46245</v>
      </c>
      <c r="B43" s="16" t="inlineStr">
        <is>
          <t>R-02</t>
        </is>
      </c>
      <c r="C43" s="19" t="n">
        <v>2781</v>
      </c>
      <c r="D43" s="19" t="n">
        <v>9</v>
      </c>
      <c r="E43" s="16" t="n">
        <v>2</v>
      </c>
      <c r="F43" s="20" t="n">
        <v>0.00324</v>
      </c>
      <c r="G43" s="17" t="n">
        <v>41.9</v>
      </c>
      <c r="H43" s="17" t="n">
        <v>47.6</v>
      </c>
      <c r="I43" s="17" t="n">
        <v>94.8</v>
      </c>
      <c r="J43" s="21" t="n">
        <v>61</v>
      </c>
    </row>
    <row r="44">
      <c r="A44" s="18" t="n">
        <v>46245</v>
      </c>
      <c r="B44" s="16" t="inlineStr">
        <is>
          <t>R-03</t>
        </is>
      </c>
      <c r="C44" s="19" t="n">
        <v>2442</v>
      </c>
      <c r="D44" s="19" t="n">
        <v>12</v>
      </c>
      <c r="E44" s="16" t="n">
        <v>2</v>
      </c>
      <c r="F44" s="20" t="n">
        <v>0.00491</v>
      </c>
      <c r="G44" s="17" t="n">
        <v>44.45</v>
      </c>
      <c r="H44" s="17" t="n">
        <v>49.1</v>
      </c>
      <c r="I44" s="17" t="n">
        <v>92.40000000000001</v>
      </c>
      <c r="J44" s="21" t="n">
        <v>63</v>
      </c>
    </row>
    <row r="45">
      <c r="A45" s="18" t="n">
        <v>46245</v>
      </c>
      <c r="B45" s="16" t="inlineStr">
        <is>
          <t>R-04</t>
        </is>
      </c>
      <c r="C45" s="19" t="n">
        <v>2589</v>
      </c>
      <c r="D45" s="19" t="n">
        <v>8</v>
      </c>
      <c r="E45" s="16" t="n">
        <v>2</v>
      </c>
      <c r="F45" s="20" t="n">
        <v>0.00309</v>
      </c>
      <c r="G45" s="17" t="n">
        <v>40.89</v>
      </c>
      <c r="H45" s="17" t="n">
        <v>45</v>
      </c>
      <c r="I45" s="17" t="n">
        <v>94.2</v>
      </c>
      <c r="J45" s="21" t="n">
        <v>62</v>
      </c>
    </row>
    <row r="46">
      <c r="A46" s="18" t="n">
        <v>46246</v>
      </c>
      <c r="B46" s="16" t="inlineStr">
        <is>
          <t>R-01</t>
        </is>
      </c>
      <c r="C46" s="19" t="n">
        <v>2592</v>
      </c>
      <c r="D46" s="19" t="n">
        <v>9</v>
      </c>
      <c r="E46" s="16" t="n">
        <v>3</v>
      </c>
      <c r="F46" s="20" t="n">
        <v>0.00347</v>
      </c>
      <c r="G46" s="17" t="n">
        <v>39.91</v>
      </c>
      <c r="H46" s="17" t="n">
        <v>44.5</v>
      </c>
      <c r="I46" s="17" t="n">
        <v>94.90000000000001</v>
      </c>
      <c r="J46" s="21" t="n">
        <v>61</v>
      </c>
    </row>
    <row r="47">
      <c r="A47" s="18" t="n">
        <v>46246</v>
      </c>
      <c r="B47" s="16" t="inlineStr">
        <is>
          <t>R-02</t>
        </is>
      </c>
      <c r="C47" s="19" t="n">
        <v>2818</v>
      </c>
      <c r="D47" s="19" t="n">
        <v>14</v>
      </c>
      <c r="E47" s="16" t="n">
        <v>4</v>
      </c>
      <c r="F47" s="20" t="n">
        <v>0.00497</v>
      </c>
      <c r="G47" s="17" t="n">
        <v>41.88</v>
      </c>
      <c r="H47" s="17" t="n">
        <v>47.1</v>
      </c>
      <c r="I47" s="17" t="n">
        <v>86.2</v>
      </c>
      <c r="J47" s="21" t="n">
        <v>63</v>
      </c>
    </row>
    <row r="48">
      <c r="A48" s="18" t="n">
        <v>46246</v>
      </c>
      <c r="B48" s="16" t="inlineStr">
        <is>
          <t>R-03</t>
        </is>
      </c>
      <c r="C48" s="19" t="n">
        <v>2152</v>
      </c>
      <c r="D48" s="19" t="n">
        <v>31</v>
      </c>
      <c r="E48" s="16" t="n">
        <v>2</v>
      </c>
      <c r="F48" s="20" t="n">
        <v>0.01441</v>
      </c>
      <c r="G48" s="17" t="n">
        <v>44.62</v>
      </c>
      <c r="H48" s="17" t="n">
        <v>49.1</v>
      </c>
      <c r="I48" s="17" t="n">
        <v>94</v>
      </c>
      <c r="J48" s="21" t="n">
        <v>60.44999999999982</v>
      </c>
    </row>
    <row r="49">
      <c r="A49" s="18" t="n">
        <v>46246</v>
      </c>
      <c r="B49" s="16" t="inlineStr">
        <is>
          <t>R-04</t>
        </is>
      </c>
      <c r="C49" s="19" t="n">
        <v>2592</v>
      </c>
      <c r="D49" s="19" t="n">
        <v>10</v>
      </c>
      <c r="E49" s="16" t="n">
        <v>5</v>
      </c>
      <c r="F49" s="20" t="n">
        <v>0.00386</v>
      </c>
      <c r="G49" s="17" t="n">
        <v>40.88</v>
      </c>
      <c r="H49" s="17" t="n">
        <v>45.6</v>
      </c>
      <c r="I49" s="17" t="n">
        <v>92.59999999999999</v>
      </c>
      <c r="J49" s="21" t="n">
        <v>63</v>
      </c>
    </row>
    <row r="50">
      <c r="A50" s="18" t="n">
        <v>46247</v>
      </c>
      <c r="B50" s="16" t="inlineStr">
        <is>
          <t>R-01</t>
        </is>
      </c>
      <c r="C50" s="19" t="n">
        <v>2650</v>
      </c>
      <c r="D50" s="19" t="n">
        <v>9</v>
      </c>
      <c r="E50" s="16" t="n">
        <v>1</v>
      </c>
      <c r="F50" s="20" t="n">
        <v>0.0034</v>
      </c>
      <c r="G50" s="17" t="n">
        <v>39.94</v>
      </c>
      <c r="H50" s="17" t="n">
        <v>45.8</v>
      </c>
      <c r="I50" s="17" t="n">
        <v>94.2</v>
      </c>
      <c r="J50" s="21" t="n">
        <v>63</v>
      </c>
    </row>
    <row r="51">
      <c r="A51" s="18" t="n">
        <v>46247</v>
      </c>
      <c r="B51" s="16" t="inlineStr">
        <is>
          <t>R-02</t>
        </is>
      </c>
      <c r="C51" s="19" t="n">
        <v>2553</v>
      </c>
      <c r="D51" s="19" t="n">
        <v>9</v>
      </c>
      <c r="E51" s="16" t="n">
        <v>4</v>
      </c>
      <c r="F51" s="20" t="n">
        <v>0.00353</v>
      </c>
      <c r="G51" s="17" t="n">
        <v>41.91</v>
      </c>
      <c r="H51" s="17" t="n">
        <v>46.5</v>
      </c>
      <c r="I51" s="17" t="n">
        <v>95.59999999999999</v>
      </c>
      <c r="J51" s="21" t="n">
        <v>61</v>
      </c>
    </row>
    <row r="52">
      <c r="A52" s="18" t="n">
        <v>46247</v>
      </c>
      <c r="B52" s="16" t="inlineStr">
        <is>
          <t>R-03</t>
        </is>
      </c>
      <c r="C52" s="19" t="n">
        <v>2864</v>
      </c>
      <c r="D52" s="19" t="n">
        <v>28</v>
      </c>
      <c r="E52" s="16" t="n">
        <v>3</v>
      </c>
      <c r="F52" s="20" t="n">
        <v>0.00978</v>
      </c>
      <c r="G52" s="17" t="n">
        <v>44.7</v>
      </c>
      <c r="H52" s="17" t="n">
        <v>49.5</v>
      </c>
      <c r="I52" s="17" t="n">
        <v>95.3</v>
      </c>
      <c r="J52" s="21" t="n">
        <v>64</v>
      </c>
    </row>
    <row r="53">
      <c r="A53" s="18" t="n">
        <v>46247</v>
      </c>
      <c r="B53" s="16" t="inlineStr">
        <is>
          <t>R-04</t>
        </is>
      </c>
      <c r="C53" s="19" t="n">
        <v>2470</v>
      </c>
      <c r="D53" s="19" t="n">
        <v>10</v>
      </c>
      <c r="E53" s="16" t="n">
        <v>1</v>
      </c>
      <c r="F53" s="20" t="n">
        <v>0.004050000000000001</v>
      </c>
      <c r="G53" s="17" t="n">
        <v>40.9</v>
      </c>
      <c r="H53" s="17" t="n">
        <v>45.6</v>
      </c>
      <c r="I53" s="17" t="n">
        <v>95.5</v>
      </c>
      <c r="J53" s="21" t="n">
        <v>61</v>
      </c>
    </row>
    <row r="54">
      <c r="A54" s="18" t="n">
        <v>46248</v>
      </c>
      <c r="B54" s="16" t="inlineStr">
        <is>
          <t>R-01</t>
        </is>
      </c>
      <c r="C54" s="19" t="n">
        <v>2472</v>
      </c>
      <c r="D54" s="19" t="n">
        <v>7</v>
      </c>
      <c r="E54" s="16" t="n">
        <v>2</v>
      </c>
      <c r="F54" s="20" t="n">
        <v>0.00283</v>
      </c>
      <c r="G54" s="17" t="n">
        <v>39.92</v>
      </c>
      <c r="H54" s="17" t="n">
        <v>44.5</v>
      </c>
      <c r="I54" s="17" t="n">
        <v>93.7</v>
      </c>
      <c r="J54" s="21" t="n">
        <v>64</v>
      </c>
    </row>
    <row r="55">
      <c r="A55" s="18" t="n">
        <v>46248</v>
      </c>
      <c r="B55" s="16" t="inlineStr">
        <is>
          <t>R-02</t>
        </is>
      </c>
      <c r="C55" s="19" t="n">
        <v>2506</v>
      </c>
      <c r="D55" s="19" t="n">
        <v>8</v>
      </c>
      <c r="E55" s="16" t="n">
        <v>6</v>
      </c>
      <c r="F55" s="20" t="n">
        <v>0.00319</v>
      </c>
      <c r="G55" s="17" t="n">
        <v>41.92</v>
      </c>
      <c r="H55" s="17" t="n">
        <v>46.5</v>
      </c>
      <c r="I55" s="17" t="n">
        <v>93.40000000000001</v>
      </c>
      <c r="J55" s="21" t="n">
        <v>65</v>
      </c>
    </row>
    <row r="56">
      <c r="A56" s="18" t="n">
        <v>46248</v>
      </c>
      <c r="B56" s="16" t="inlineStr">
        <is>
          <t>R-03</t>
        </is>
      </c>
      <c r="C56" s="19" t="n">
        <v>2810</v>
      </c>
      <c r="D56" s="19" t="n">
        <v>43</v>
      </c>
      <c r="E56" s="16" t="n">
        <v>4</v>
      </c>
      <c r="F56" s="20" t="n">
        <v>0.0153</v>
      </c>
      <c r="G56" s="17" t="n">
        <v>44.88</v>
      </c>
      <c r="H56" s="17" t="n">
        <v>49.1</v>
      </c>
      <c r="I56" s="17" t="n">
        <v>91.3</v>
      </c>
      <c r="J56" s="21" t="n">
        <v>62</v>
      </c>
    </row>
    <row r="57">
      <c r="A57" s="18" t="n">
        <v>46248</v>
      </c>
      <c r="B57" s="16" t="inlineStr">
        <is>
          <t>R-04</t>
        </is>
      </c>
      <c r="C57" s="19" t="n">
        <v>2457</v>
      </c>
      <c r="D57" s="19" t="n">
        <v>13</v>
      </c>
      <c r="E57" s="16" t="n">
        <v>3</v>
      </c>
      <c r="F57" s="20" t="n">
        <v>0.00529</v>
      </c>
      <c r="G57" s="17" t="n">
        <v>40.93</v>
      </c>
      <c r="H57" s="17" t="n">
        <v>45.5</v>
      </c>
      <c r="I57" s="17" t="n">
        <v>94.09999999999999</v>
      </c>
      <c r="J57" s="21" t="n">
        <v>65</v>
      </c>
    </row>
    <row r="58">
      <c r="A58" s="18" t="n">
        <v>46249</v>
      </c>
      <c r="B58" s="16" t="inlineStr">
        <is>
          <t>R-01</t>
        </is>
      </c>
      <c r="C58" s="19" t="n">
        <v>1272</v>
      </c>
      <c r="D58" s="19" t="n">
        <v>5</v>
      </c>
      <c r="E58" s="16" t="n">
        <v>3</v>
      </c>
      <c r="F58" s="20" t="n">
        <v>0.00393</v>
      </c>
      <c r="G58" s="17" t="n">
        <v>39.9</v>
      </c>
      <c r="H58" s="17" t="n">
        <v>44.7</v>
      </c>
      <c r="I58" s="17" t="n">
        <v>95.8</v>
      </c>
      <c r="J58" s="21" t="n">
        <v>63</v>
      </c>
    </row>
    <row r="59">
      <c r="A59" s="18" t="n">
        <v>46249</v>
      </c>
      <c r="B59" s="16" t="inlineStr">
        <is>
          <t>R-02</t>
        </is>
      </c>
      <c r="C59" s="19" t="n">
        <v>1232</v>
      </c>
      <c r="D59" s="19" t="n">
        <v>7</v>
      </c>
      <c r="E59" s="16" t="n">
        <v>1</v>
      </c>
      <c r="F59" s="20" t="n">
        <v>0.005679999999999999</v>
      </c>
      <c r="G59" s="17" t="n">
        <v>41.89</v>
      </c>
      <c r="H59" s="17" t="n">
        <v>46.7</v>
      </c>
      <c r="I59" s="17" t="n">
        <v>96.5</v>
      </c>
      <c r="J59" s="21" t="n">
        <v>63.45000000000005</v>
      </c>
    </row>
    <row r="60">
      <c r="A60" s="18" t="n">
        <v>46249</v>
      </c>
      <c r="B60" s="16" t="inlineStr">
        <is>
          <t>R-03</t>
        </is>
      </c>
      <c r="C60" s="19" t="n">
        <v>1286</v>
      </c>
      <c r="D60" s="19" t="n">
        <v>19</v>
      </c>
      <c r="E60" s="16" t="n">
        <v>1</v>
      </c>
      <c r="F60" s="20" t="n">
        <v>0.01477</v>
      </c>
      <c r="G60" s="17" t="n">
        <v>44.96</v>
      </c>
      <c r="H60" s="17" t="n">
        <v>49.6</v>
      </c>
      <c r="I60" s="17" t="n">
        <v>92.3</v>
      </c>
      <c r="J60" s="21" t="n">
        <v>62</v>
      </c>
    </row>
    <row r="61">
      <c r="A61" s="18" t="n">
        <v>46249</v>
      </c>
      <c r="B61" s="16" t="inlineStr">
        <is>
          <t>R-04</t>
        </is>
      </c>
      <c r="C61" s="19" t="n">
        <v>1386</v>
      </c>
      <c r="D61" s="19" t="n">
        <v>5</v>
      </c>
      <c r="E61" s="16" t="n">
        <v>0</v>
      </c>
      <c r="F61" s="20" t="n">
        <v>0.00361</v>
      </c>
      <c r="G61" s="17" t="n">
        <v>40.9</v>
      </c>
      <c r="H61" s="17" t="n">
        <v>45.1</v>
      </c>
      <c r="I61" s="17" t="n">
        <v>95.5</v>
      </c>
      <c r="J61" s="21" t="n">
        <v>60.75</v>
      </c>
    </row>
    <row r="62">
      <c r="A62" s="18" t="n">
        <v>46250</v>
      </c>
      <c r="B62" s="16" t="inlineStr">
        <is>
          <t>R-01</t>
        </is>
      </c>
      <c r="C62" s="19" t="n">
        <v>1353</v>
      </c>
      <c r="D62" s="19" t="n">
        <v>3</v>
      </c>
      <c r="E62" s="16" t="n">
        <v>0</v>
      </c>
      <c r="F62" s="20" t="n">
        <v>0.00222</v>
      </c>
      <c r="G62" s="17" t="n">
        <v>39.9</v>
      </c>
      <c r="H62" s="17" t="n">
        <v>44.6</v>
      </c>
      <c r="I62" s="17" t="n">
        <v>95.09999999999999</v>
      </c>
      <c r="J62" s="21" t="n">
        <v>62</v>
      </c>
    </row>
    <row r="63">
      <c r="A63" s="18" t="n">
        <v>46250</v>
      </c>
      <c r="B63" s="16" t="inlineStr">
        <is>
          <t>R-02</t>
        </is>
      </c>
      <c r="C63" s="19" t="n">
        <v>1408</v>
      </c>
      <c r="D63" s="19" t="n">
        <v>10</v>
      </c>
      <c r="E63" s="16" t="n">
        <v>0</v>
      </c>
      <c r="F63" s="20" t="n">
        <v>0.0071</v>
      </c>
      <c r="G63" s="17" t="n">
        <v>41.87</v>
      </c>
      <c r="H63" s="17" t="n">
        <v>46.4</v>
      </c>
      <c r="I63" s="17" t="n">
        <v>94.40000000000001</v>
      </c>
      <c r="J63" s="21" t="n">
        <v>65</v>
      </c>
    </row>
    <row r="64">
      <c r="A64" s="18" t="n">
        <v>46250</v>
      </c>
      <c r="B64" s="16" t="inlineStr">
        <is>
          <t>R-03</t>
        </is>
      </c>
      <c r="C64" s="19" t="n">
        <v>1514</v>
      </c>
      <c r="D64" s="19" t="n">
        <v>15</v>
      </c>
      <c r="E64" s="16" t="n">
        <v>1</v>
      </c>
      <c r="F64" s="20" t="n">
        <v>0.00991</v>
      </c>
      <c r="G64" s="17" t="n">
        <v>45.19</v>
      </c>
      <c r="H64" s="17" t="n">
        <v>49.4</v>
      </c>
      <c r="I64" s="17" t="n">
        <v>94.5</v>
      </c>
      <c r="J64" s="21" t="n">
        <v>65</v>
      </c>
    </row>
    <row r="65">
      <c r="A65" s="18" t="n">
        <v>46250</v>
      </c>
      <c r="B65" s="16" t="inlineStr">
        <is>
          <t>R-04</t>
        </is>
      </c>
      <c r="C65" s="19" t="n">
        <v>1433</v>
      </c>
      <c r="D65" s="19" t="n">
        <v>4</v>
      </c>
      <c r="E65" s="16" t="n">
        <v>2</v>
      </c>
      <c r="F65" s="20" t="n">
        <v>0.00279</v>
      </c>
      <c r="G65" s="17" t="n">
        <v>40.92</v>
      </c>
      <c r="H65" s="17" t="n">
        <v>45</v>
      </c>
      <c r="I65" s="17" t="n">
        <v>93.09999999999999</v>
      </c>
      <c r="J65" s="21" t="n">
        <v>62.39999999999986</v>
      </c>
    </row>
    <row r="66">
      <c r="A66" s="18" t="n">
        <v>46251</v>
      </c>
      <c r="B66" s="16" t="inlineStr">
        <is>
          <t>R-01</t>
        </is>
      </c>
      <c r="C66" s="19" t="n">
        <v>2786</v>
      </c>
      <c r="D66" s="19" t="n">
        <v>16</v>
      </c>
      <c r="E66" s="16" t="n">
        <v>3</v>
      </c>
      <c r="F66" s="20" t="n">
        <v>0.005739999999999999</v>
      </c>
      <c r="G66" s="17" t="n">
        <v>39.92</v>
      </c>
      <c r="H66" s="17" t="n">
        <v>44.9</v>
      </c>
      <c r="I66" s="17" t="n">
        <v>90.40000000000001</v>
      </c>
      <c r="J66" s="21" t="n">
        <v>62.75</v>
      </c>
    </row>
    <row r="67">
      <c r="A67" s="18" t="n">
        <v>46251</v>
      </c>
      <c r="B67" s="16" t="inlineStr">
        <is>
          <t>R-02</t>
        </is>
      </c>
      <c r="C67" s="19" t="n">
        <v>2761</v>
      </c>
      <c r="D67" s="19" t="n">
        <v>12</v>
      </c>
      <c r="E67" s="16" t="n">
        <v>5</v>
      </c>
      <c r="F67" s="20" t="n">
        <v>0.00435</v>
      </c>
      <c r="G67" s="17" t="n">
        <v>41.93</v>
      </c>
      <c r="H67" s="17" t="n">
        <v>46.7</v>
      </c>
      <c r="I67" s="17" t="n">
        <v>94.5</v>
      </c>
      <c r="J67" s="21" t="n">
        <v>62</v>
      </c>
    </row>
    <row r="68">
      <c r="A68" s="18" t="n">
        <v>46251</v>
      </c>
      <c r="B68" s="16" t="inlineStr">
        <is>
          <t>R-03</t>
        </is>
      </c>
      <c r="C68" s="19" t="n">
        <v>2588</v>
      </c>
      <c r="D68" s="19" t="n">
        <v>33</v>
      </c>
      <c r="E68" s="16" t="n">
        <v>6</v>
      </c>
      <c r="F68" s="20" t="n">
        <v>0.01275</v>
      </c>
      <c r="G68" s="17" t="n">
        <v>45.31</v>
      </c>
      <c r="H68" s="17" t="n">
        <v>50.1</v>
      </c>
      <c r="I68" s="17" t="n">
        <v>93.7</v>
      </c>
      <c r="J68" s="21" t="n">
        <v>62</v>
      </c>
    </row>
    <row r="69">
      <c r="A69" s="18" t="n">
        <v>46251</v>
      </c>
      <c r="B69" s="16" t="inlineStr">
        <is>
          <t>R-04</t>
        </is>
      </c>
      <c r="C69" s="19" t="n">
        <v>2688</v>
      </c>
      <c r="D69" s="19" t="n">
        <v>8</v>
      </c>
      <c r="E69" s="16" t="n">
        <v>1</v>
      </c>
      <c r="F69" s="20" t="n">
        <v>0.00298</v>
      </c>
      <c r="G69" s="17" t="n">
        <v>40.9</v>
      </c>
      <c r="H69" s="17" t="n">
        <v>45.3</v>
      </c>
      <c r="I69" s="17" t="n">
        <v>92.5</v>
      </c>
      <c r="J69" s="21" t="n">
        <v>64</v>
      </c>
    </row>
    <row r="70">
      <c r="A70" s="18" t="n">
        <v>46252</v>
      </c>
      <c r="B70" s="16" t="inlineStr">
        <is>
          <t>R-01</t>
        </is>
      </c>
      <c r="C70" s="19" t="n">
        <v>2687</v>
      </c>
      <c r="D70" s="19" t="n">
        <v>14</v>
      </c>
      <c r="E70" s="16" t="n">
        <v>2</v>
      </c>
      <c r="F70" s="20" t="n">
        <v>0.00521</v>
      </c>
      <c r="G70" s="17" t="n">
        <v>39.88</v>
      </c>
      <c r="H70" s="17" t="n">
        <v>44.7</v>
      </c>
      <c r="I70" s="17" t="n">
        <v>92.3</v>
      </c>
      <c r="J70" s="21" t="n">
        <v>64</v>
      </c>
    </row>
    <row r="71">
      <c r="A71" s="18" t="n">
        <v>46252</v>
      </c>
      <c r="B71" s="16" t="inlineStr">
        <is>
          <t>R-02</t>
        </is>
      </c>
      <c r="C71" s="19" t="n">
        <v>2548</v>
      </c>
      <c r="D71" s="19" t="n">
        <v>12</v>
      </c>
      <c r="E71" s="16" t="n">
        <v>2</v>
      </c>
      <c r="F71" s="20" t="n">
        <v>0.00471</v>
      </c>
      <c r="G71" s="17" t="n">
        <v>41.85</v>
      </c>
      <c r="H71" s="17" t="n">
        <v>47</v>
      </c>
      <c r="I71" s="17" t="n">
        <v>95</v>
      </c>
      <c r="J71" s="21" t="n">
        <v>62</v>
      </c>
    </row>
    <row r="72">
      <c r="A72" s="18" t="n">
        <v>46252</v>
      </c>
      <c r="B72" s="16" t="inlineStr">
        <is>
          <t>R-03</t>
        </is>
      </c>
      <c r="C72" s="19" t="n">
        <v>2512</v>
      </c>
      <c r="D72" s="19" t="n">
        <v>33</v>
      </c>
      <c r="E72" s="16" t="n">
        <v>3</v>
      </c>
      <c r="F72" s="20" t="n">
        <v>0.01314</v>
      </c>
      <c r="G72" s="17" t="n">
        <v>45.47</v>
      </c>
      <c r="H72" s="17" t="n">
        <v>50.2</v>
      </c>
      <c r="I72" s="17" t="n">
        <v>93.90000000000001</v>
      </c>
      <c r="J72" s="21" t="n">
        <v>64</v>
      </c>
    </row>
    <row r="73">
      <c r="A73" s="18" t="n">
        <v>46252</v>
      </c>
      <c r="B73" s="16" t="inlineStr">
        <is>
          <t>R-04</t>
        </is>
      </c>
      <c r="C73" s="19" t="n">
        <v>2604</v>
      </c>
      <c r="D73" s="19" t="n">
        <v>9</v>
      </c>
      <c r="E73" s="16" t="n">
        <v>5</v>
      </c>
      <c r="F73" s="20" t="n">
        <v>0.00346</v>
      </c>
      <c r="G73" s="17" t="n">
        <v>40.89</v>
      </c>
      <c r="H73" s="17" t="n">
        <v>45.6</v>
      </c>
      <c r="I73" s="17" t="n">
        <v>93.90000000000001</v>
      </c>
      <c r="J73" s="21" t="n">
        <v>61</v>
      </c>
    </row>
    <row r="74">
      <c r="A74" s="18" t="n">
        <v>46253</v>
      </c>
      <c r="B74" s="16" t="inlineStr">
        <is>
          <t>R-01</t>
        </is>
      </c>
      <c r="C74" s="19" t="n">
        <v>2723</v>
      </c>
      <c r="D74" s="19" t="n">
        <v>12</v>
      </c>
      <c r="E74" s="16" t="n">
        <v>5</v>
      </c>
      <c r="F74" s="20" t="n">
        <v>0.00441</v>
      </c>
      <c r="G74" s="17" t="n">
        <v>39.89</v>
      </c>
      <c r="H74" s="17" t="n">
        <v>45.3</v>
      </c>
      <c r="I74" s="17" t="n">
        <v>94.7</v>
      </c>
      <c r="J74" s="21" t="n">
        <v>62.90000000000009</v>
      </c>
    </row>
    <row r="75">
      <c r="A75" s="18" t="n">
        <v>46253</v>
      </c>
      <c r="B75" s="16" t="inlineStr">
        <is>
          <t>R-02</t>
        </is>
      </c>
      <c r="C75" s="19" t="n">
        <v>2741</v>
      </c>
      <c r="D75" s="19" t="n">
        <v>12</v>
      </c>
      <c r="E75" s="16" t="n">
        <v>2</v>
      </c>
      <c r="F75" s="20" t="n">
        <v>0.00438</v>
      </c>
      <c r="G75" s="17" t="n">
        <v>41.91</v>
      </c>
      <c r="H75" s="17" t="n">
        <v>46.3</v>
      </c>
      <c r="I75" s="17" t="n">
        <v>94.59999999999999</v>
      </c>
      <c r="J75" s="21" t="n">
        <v>59</v>
      </c>
    </row>
    <row r="76">
      <c r="A76" s="18" t="n">
        <v>46253</v>
      </c>
      <c r="B76" s="16" t="inlineStr">
        <is>
          <t>R-03</t>
        </is>
      </c>
      <c r="C76" s="19" t="n">
        <v>2821</v>
      </c>
      <c r="D76" s="19" t="n">
        <v>49</v>
      </c>
      <c r="E76" s="16" t="n">
        <v>1</v>
      </c>
      <c r="F76" s="20" t="n">
        <v>0.01737</v>
      </c>
      <c r="G76" s="17" t="n">
        <v>45.56</v>
      </c>
      <c r="H76" s="17" t="n">
        <v>50.9</v>
      </c>
      <c r="I76" s="17" t="n">
        <v>92.90000000000001</v>
      </c>
      <c r="J76" s="21" t="n">
        <v>63</v>
      </c>
    </row>
    <row r="77">
      <c r="A77" s="18" t="n">
        <v>46253</v>
      </c>
      <c r="B77" s="16" t="inlineStr">
        <is>
          <t>R-04</t>
        </is>
      </c>
      <c r="C77" s="19" t="n">
        <v>2554</v>
      </c>
      <c r="D77" s="19" t="n">
        <v>7</v>
      </c>
      <c r="E77" s="16" t="n">
        <v>3</v>
      </c>
      <c r="F77" s="20" t="n">
        <v>0.00274</v>
      </c>
      <c r="G77" s="17" t="n">
        <v>40.86</v>
      </c>
      <c r="H77" s="17" t="n">
        <v>45.6</v>
      </c>
      <c r="I77" s="17" t="n">
        <v>94</v>
      </c>
      <c r="J77" s="21" t="n">
        <v>62</v>
      </c>
    </row>
    <row r="78">
      <c r="A78" s="18" t="n">
        <v>46254</v>
      </c>
      <c r="B78" s="16" t="inlineStr">
        <is>
          <t>R-01</t>
        </is>
      </c>
      <c r="C78" s="19" t="n">
        <v>2633</v>
      </c>
      <c r="D78" s="19" t="n">
        <v>14</v>
      </c>
      <c r="E78" s="16" t="n">
        <v>7</v>
      </c>
      <c r="F78" s="20" t="n">
        <v>0.00532</v>
      </c>
      <c r="G78" s="17" t="n">
        <v>39.87</v>
      </c>
      <c r="H78" s="17" t="n">
        <v>44.7</v>
      </c>
      <c r="I78" s="17" t="n">
        <v>93.5</v>
      </c>
      <c r="J78" s="21" t="n">
        <v>61</v>
      </c>
    </row>
    <row r="79">
      <c r="A79" s="18" t="n">
        <v>46254</v>
      </c>
      <c r="B79" s="16" t="inlineStr">
        <is>
          <t>R-02</t>
        </is>
      </c>
      <c r="C79" s="19" t="n">
        <v>2923</v>
      </c>
      <c r="D79" s="19" t="n">
        <v>12</v>
      </c>
      <c r="E79" s="16" t="n">
        <v>0</v>
      </c>
      <c r="F79" s="20" t="n">
        <v>0.00411</v>
      </c>
      <c r="G79" s="17" t="n">
        <v>41.91</v>
      </c>
      <c r="H79" s="17" t="n">
        <v>46.5</v>
      </c>
      <c r="I79" s="17" t="n">
        <v>92.09999999999999</v>
      </c>
      <c r="J79" s="21" t="n">
        <v>61</v>
      </c>
    </row>
    <row r="80">
      <c r="A80" s="18" t="n">
        <v>46254</v>
      </c>
      <c r="B80" s="16" t="inlineStr">
        <is>
          <t>R-03</t>
        </is>
      </c>
      <c r="C80" s="19" t="n">
        <v>2460</v>
      </c>
      <c r="D80" s="19" t="n">
        <v>37</v>
      </c>
      <c r="E80" s="16" t="n">
        <v>2</v>
      </c>
      <c r="F80" s="20" t="n">
        <v>0.01504</v>
      </c>
      <c r="G80" s="17" t="n">
        <v>45.72</v>
      </c>
      <c r="H80" s="17" t="n">
        <v>50.7</v>
      </c>
      <c r="I80" s="17" t="n">
        <v>95.5</v>
      </c>
      <c r="J80" s="21" t="n">
        <v>60</v>
      </c>
    </row>
    <row r="81">
      <c r="A81" s="18" t="n">
        <v>46254</v>
      </c>
      <c r="B81" s="16" t="inlineStr">
        <is>
          <t>R-04</t>
        </is>
      </c>
      <c r="C81" s="19" t="n">
        <v>2818</v>
      </c>
      <c r="D81" s="19" t="n">
        <v>15</v>
      </c>
      <c r="E81" s="16" t="n">
        <v>3</v>
      </c>
      <c r="F81" s="20" t="n">
        <v>0.00532</v>
      </c>
      <c r="G81" s="17" t="n">
        <v>40.93</v>
      </c>
      <c r="H81" s="17" t="n">
        <v>46.4</v>
      </c>
      <c r="I81" s="17" t="n">
        <v>95.2</v>
      </c>
      <c r="J81" s="21" t="n">
        <v>64</v>
      </c>
    </row>
    <row r="82">
      <c r="A82" s="18" t="n">
        <v>46255</v>
      </c>
      <c r="B82" s="16" t="inlineStr">
        <is>
          <t>R-01</t>
        </is>
      </c>
      <c r="C82" s="19" t="n">
        <v>2573</v>
      </c>
      <c r="D82" s="19" t="n">
        <v>9</v>
      </c>
      <c r="E82" s="16" t="n">
        <v>5</v>
      </c>
      <c r="F82" s="20" t="n">
        <v>0.0035</v>
      </c>
      <c r="G82" s="17" t="n">
        <v>39.89</v>
      </c>
      <c r="H82" s="17" t="n">
        <v>44.8</v>
      </c>
      <c r="I82" s="17" t="n">
        <v>95.2</v>
      </c>
      <c r="J82" s="21" t="n">
        <v>63</v>
      </c>
    </row>
    <row r="83">
      <c r="A83" s="18" t="n">
        <v>46255</v>
      </c>
      <c r="B83" s="16" t="inlineStr">
        <is>
          <t>R-02</t>
        </is>
      </c>
      <c r="C83" s="19" t="n">
        <v>2514</v>
      </c>
      <c r="D83" s="19" t="n">
        <v>11</v>
      </c>
      <c r="E83" s="16" t="n">
        <v>0</v>
      </c>
      <c r="F83" s="20" t="n">
        <v>0.00438</v>
      </c>
      <c r="G83" s="17" t="n">
        <v>41.91</v>
      </c>
      <c r="H83" s="17" t="n">
        <v>47.1</v>
      </c>
      <c r="I83" s="17" t="n">
        <v>94.40000000000001</v>
      </c>
      <c r="J83" s="21" t="n">
        <v>62</v>
      </c>
    </row>
    <row r="84">
      <c r="A84" s="18" t="n">
        <v>46255</v>
      </c>
      <c r="B84" s="16" t="inlineStr">
        <is>
          <t>R-03</t>
        </is>
      </c>
      <c r="C84" s="19" t="n">
        <v>2709</v>
      </c>
      <c r="D84" s="19" t="n">
        <v>40</v>
      </c>
      <c r="E84" s="16" t="n">
        <v>2</v>
      </c>
      <c r="F84" s="20" t="n">
        <v>0.01477</v>
      </c>
      <c r="G84" s="17" t="n">
        <v>45.89</v>
      </c>
      <c r="H84" s="17" t="n">
        <v>51.4</v>
      </c>
      <c r="I84" s="17" t="n">
        <v>91.2</v>
      </c>
      <c r="J84" s="21" t="n">
        <v>63</v>
      </c>
    </row>
    <row r="85">
      <c r="A85" s="18" t="n">
        <v>46255</v>
      </c>
      <c r="B85" s="16" t="inlineStr">
        <is>
          <t>R-04</t>
        </is>
      </c>
      <c r="C85" s="19" t="n">
        <v>2467</v>
      </c>
      <c r="D85" s="19" t="n">
        <v>10</v>
      </c>
      <c r="E85" s="16" t="n">
        <v>3</v>
      </c>
      <c r="F85" s="20" t="n">
        <v>0.004050000000000001</v>
      </c>
      <c r="G85" s="17" t="n">
        <v>40.94</v>
      </c>
      <c r="H85" s="17" t="n">
        <v>45.5</v>
      </c>
      <c r="I85" s="17" t="n">
        <v>94.59999999999999</v>
      </c>
      <c r="J85" s="21" t="n">
        <v>61</v>
      </c>
    </row>
    <row r="86">
      <c r="A86" s="18" t="n">
        <v>46256</v>
      </c>
      <c r="B86" s="16" t="inlineStr">
        <is>
          <t>R-01</t>
        </is>
      </c>
      <c r="C86" s="19" t="n">
        <v>1781</v>
      </c>
      <c r="D86" s="19" t="n">
        <v>3</v>
      </c>
      <c r="E86" s="16" t="n">
        <v>1</v>
      </c>
      <c r="F86" s="20" t="n">
        <v>0.00168</v>
      </c>
      <c r="G86" s="17" t="n">
        <v>39.92</v>
      </c>
      <c r="H86" s="17" t="n">
        <v>44.6</v>
      </c>
      <c r="I86" s="17" t="n">
        <v>93.59999999999999</v>
      </c>
      <c r="J86" s="21" t="n">
        <v>64</v>
      </c>
    </row>
    <row r="87">
      <c r="A87" s="18" t="n">
        <v>46256</v>
      </c>
      <c r="B87" s="16" t="inlineStr">
        <is>
          <t>R-02</t>
        </is>
      </c>
      <c r="C87" s="19" t="n">
        <v>1382</v>
      </c>
      <c r="D87" s="19" t="n">
        <v>4</v>
      </c>
      <c r="E87" s="16" t="n">
        <v>2</v>
      </c>
      <c r="F87" s="20" t="n">
        <v>0.00289</v>
      </c>
      <c r="G87" s="17" t="n">
        <v>41.89</v>
      </c>
      <c r="H87" s="17" t="n">
        <v>46.2</v>
      </c>
      <c r="I87" s="17" t="n">
        <v>93.40000000000001</v>
      </c>
      <c r="J87" s="21" t="n">
        <v>64</v>
      </c>
    </row>
    <row r="88">
      <c r="A88" s="18" t="n">
        <v>46256</v>
      </c>
      <c r="B88" s="16" t="inlineStr">
        <is>
          <t>R-03</t>
        </is>
      </c>
      <c r="C88" s="19" t="n">
        <v>1365</v>
      </c>
      <c r="D88" s="19" t="n">
        <v>22</v>
      </c>
      <c r="E88" s="16" t="n">
        <v>0</v>
      </c>
      <c r="F88" s="20" t="n">
        <v>0.01612</v>
      </c>
      <c r="G88" s="17" t="n">
        <v>46.07</v>
      </c>
      <c r="H88" s="17" t="n">
        <v>50.3</v>
      </c>
      <c r="I88" s="17" t="n">
        <v>96.2</v>
      </c>
      <c r="J88" s="21" t="n">
        <v>60</v>
      </c>
    </row>
    <row r="89">
      <c r="A89" s="18" t="n">
        <v>46256</v>
      </c>
      <c r="B89" s="16" t="inlineStr">
        <is>
          <t>R-04</t>
        </is>
      </c>
      <c r="C89" s="19" t="n">
        <v>1344</v>
      </c>
      <c r="D89" s="19" t="n">
        <v>4</v>
      </c>
      <c r="E89" s="16" t="n">
        <v>1</v>
      </c>
      <c r="F89" s="20" t="n">
        <v>0.00298</v>
      </c>
      <c r="G89" s="17" t="n">
        <v>40.95</v>
      </c>
      <c r="H89" s="17" t="n">
        <v>45.2</v>
      </c>
      <c r="I89" s="17" t="n">
        <v>93.3</v>
      </c>
      <c r="J89" s="21" t="n">
        <v>63.84999999999991</v>
      </c>
    </row>
    <row r="90">
      <c r="A90" s="18" t="n">
        <v>46257</v>
      </c>
      <c r="B90" s="16" t="inlineStr">
        <is>
          <t>R-01</t>
        </is>
      </c>
      <c r="C90" s="19" t="n">
        <v>1462</v>
      </c>
      <c r="D90" s="19" t="n">
        <v>8</v>
      </c>
      <c r="E90" s="16" t="n">
        <v>1</v>
      </c>
      <c r="F90" s="20" t="n">
        <v>0.00547</v>
      </c>
      <c r="G90" s="17" t="n">
        <v>39.88</v>
      </c>
      <c r="H90" s="17" t="n">
        <v>45</v>
      </c>
      <c r="I90" s="17" t="n">
        <v>94.3</v>
      </c>
      <c r="J90" s="21" t="n">
        <v>60</v>
      </c>
    </row>
    <row r="91">
      <c r="A91" s="18" t="n">
        <v>46257</v>
      </c>
      <c r="B91" s="16" t="inlineStr">
        <is>
          <t>R-02</t>
        </is>
      </c>
      <c r="C91" s="19" t="n">
        <v>1613</v>
      </c>
      <c r="D91" s="19" t="n">
        <v>9</v>
      </c>
      <c r="E91" s="16" t="n">
        <v>0</v>
      </c>
      <c r="F91" s="20" t="n">
        <v>0.005580000000000001</v>
      </c>
      <c r="G91" s="17" t="n">
        <v>41.88</v>
      </c>
      <c r="H91" s="17" t="n">
        <v>46.3</v>
      </c>
      <c r="I91" s="17" t="n">
        <v>90.3</v>
      </c>
      <c r="J91" s="21" t="n">
        <v>62</v>
      </c>
    </row>
    <row r="92">
      <c r="A92" s="18" t="n">
        <v>46257</v>
      </c>
      <c r="B92" s="16" t="inlineStr">
        <is>
          <t>R-03</t>
        </is>
      </c>
      <c r="C92" s="19" t="n">
        <v>1495</v>
      </c>
      <c r="D92" s="19" t="n">
        <v>25</v>
      </c>
      <c r="E92" s="16" t="n">
        <v>5</v>
      </c>
      <c r="F92" s="20" t="n">
        <v>0.01672</v>
      </c>
      <c r="G92" s="17" t="n">
        <v>46.15</v>
      </c>
      <c r="H92" s="17" t="n">
        <v>50.3</v>
      </c>
      <c r="I92" s="17" t="n">
        <v>96</v>
      </c>
      <c r="J92" s="21" t="n">
        <v>62</v>
      </c>
    </row>
    <row r="93">
      <c r="A93" s="18" t="n">
        <v>46257</v>
      </c>
      <c r="B93" s="16" t="inlineStr">
        <is>
          <t>R-04</t>
        </is>
      </c>
      <c r="C93" s="19" t="n">
        <v>1467</v>
      </c>
      <c r="D93" s="19" t="n">
        <v>8</v>
      </c>
      <c r="E93" s="16" t="n">
        <v>1</v>
      </c>
      <c r="F93" s="20" t="n">
        <v>0.00545</v>
      </c>
      <c r="G93" s="17" t="n">
        <v>40.87</v>
      </c>
      <c r="H93" s="17" t="n">
        <v>45.4</v>
      </c>
      <c r="I93" s="17" t="n">
        <v>92.8</v>
      </c>
      <c r="J93" s="21" t="n">
        <v>61</v>
      </c>
    </row>
    <row r="94">
      <c r="A94" s="18" t="n">
        <v>46258</v>
      </c>
      <c r="B94" s="16" t="inlineStr">
        <is>
          <t>R-01</t>
        </is>
      </c>
      <c r="C94" s="19" t="n">
        <v>2539</v>
      </c>
      <c r="D94" s="19" t="n">
        <v>10</v>
      </c>
      <c r="E94" s="16" t="n">
        <v>4</v>
      </c>
      <c r="F94" s="20" t="n">
        <v>0.00394</v>
      </c>
      <c r="G94" s="17" t="n">
        <v>39.91</v>
      </c>
      <c r="H94" s="17" t="n">
        <v>45.1</v>
      </c>
      <c r="I94" s="17" t="n">
        <v>90.09999999999999</v>
      </c>
      <c r="J94" s="21" t="n">
        <v>62</v>
      </c>
    </row>
    <row r="95">
      <c r="A95" s="18" t="n">
        <v>46258</v>
      </c>
      <c r="B95" s="16" t="inlineStr">
        <is>
          <t>R-02</t>
        </is>
      </c>
      <c r="C95" s="19" t="n">
        <v>2966</v>
      </c>
      <c r="D95" s="19" t="n">
        <v>11</v>
      </c>
      <c r="E95" s="16" t="n">
        <v>1</v>
      </c>
      <c r="F95" s="20" t="n">
        <v>0.00371</v>
      </c>
      <c r="G95" s="17" t="n">
        <v>41.92</v>
      </c>
      <c r="H95" s="17" t="n">
        <v>46.9</v>
      </c>
      <c r="I95" s="17" t="n">
        <v>94.90000000000001</v>
      </c>
      <c r="J95" s="21" t="n">
        <v>62</v>
      </c>
    </row>
    <row r="96">
      <c r="A96" s="18" t="n">
        <v>46258</v>
      </c>
      <c r="B96" s="16" t="inlineStr">
        <is>
          <t>R-03</t>
        </is>
      </c>
      <c r="C96" s="19" t="n">
        <v>2638</v>
      </c>
      <c r="D96" s="19" t="n">
        <v>47</v>
      </c>
      <c r="E96" s="16" t="n">
        <v>2</v>
      </c>
      <c r="F96" s="20" t="n">
        <v>0.01782</v>
      </c>
      <c r="G96" s="17" t="n">
        <v>46.4</v>
      </c>
      <c r="H96" s="17" t="n">
        <v>52.6</v>
      </c>
      <c r="I96" s="17" t="n">
        <v>95.40000000000001</v>
      </c>
      <c r="J96" s="21" t="n">
        <v>60</v>
      </c>
    </row>
    <row r="97">
      <c r="A97" s="18" t="n">
        <v>46258</v>
      </c>
      <c r="B97" s="16" t="inlineStr">
        <is>
          <t>R-04</t>
        </is>
      </c>
      <c r="C97" s="19" t="n">
        <v>2437</v>
      </c>
      <c r="D97" s="19" t="n">
        <v>8</v>
      </c>
      <c r="E97" s="16" t="n">
        <v>3</v>
      </c>
      <c r="F97" s="20" t="n">
        <v>0.00328</v>
      </c>
      <c r="G97" s="17" t="n">
        <v>40.89</v>
      </c>
      <c r="H97" s="17" t="n">
        <v>45.5</v>
      </c>
      <c r="I97" s="17" t="n">
        <v>94.7</v>
      </c>
      <c r="J97" s="21" t="n">
        <v>61</v>
      </c>
    </row>
    <row r="98">
      <c r="A98" s="18" t="n">
        <v>46259</v>
      </c>
      <c r="B98" s="16" t="inlineStr">
        <is>
          <t>R-01</t>
        </is>
      </c>
      <c r="C98" s="19" t="n">
        <v>2408</v>
      </c>
      <c r="D98" s="19" t="n">
        <v>7</v>
      </c>
      <c r="E98" s="16" t="n">
        <v>1</v>
      </c>
      <c r="F98" s="20" t="n">
        <v>0.00291</v>
      </c>
      <c r="G98" s="17" t="n">
        <v>39.92</v>
      </c>
      <c r="H98" s="17" t="n">
        <v>44.4</v>
      </c>
      <c r="I98" s="17" t="n">
        <v>92.09999999999999</v>
      </c>
      <c r="J98" s="21" t="n">
        <v>62</v>
      </c>
    </row>
    <row r="99">
      <c r="A99" s="18" t="n">
        <v>46259</v>
      </c>
      <c r="B99" s="16" t="inlineStr">
        <is>
          <t>R-02</t>
        </is>
      </c>
      <c r="C99" s="19" t="n">
        <v>2421</v>
      </c>
      <c r="D99" s="19" t="n">
        <v>12</v>
      </c>
      <c r="E99" s="16" t="n">
        <v>3</v>
      </c>
      <c r="F99" s="20" t="n">
        <v>0.00496</v>
      </c>
      <c r="G99" s="17" t="n">
        <v>41.82</v>
      </c>
      <c r="H99" s="17" t="n">
        <v>46.2</v>
      </c>
      <c r="I99" s="17" t="n">
        <v>94</v>
      </c>
      <c r="J99" s="21" t="n">
        <v>63</v>
      </c>
    </row>
    <row r="100">
      <c r="A100" s="18" t="n">
        <v>46259</v>
      </c>
      <c r="B100" s="16" t="inlineStr">
        <is>
          <t>R-03</t>
        </is>
      </c>
      <c r="C100" s="19" t="n">
        <v>2550</v>
      </c>
      <c r="D100" s="19" t="n">
        <v>50</v>
      </c>
      <c r="E100" s="16" t="n">
        <v>3</v>
      </c>
      <c r="F100" s="20" t="n">
        <v>0.01961</v>
      </c>
      <c r="G100" s="17" t="n">
        <v>46.44</v>
      </c>
      <c r="H100" s="17" t="n">
        <v>51.6</v>
      </c>
      <c r="I100" s="17" t="n">
        <v>93.09999999999999</v>
      </c>
      <c r="J100" s="21" t="n">
        <v>61</v>
      </c>
    </row>
    <row r="101">
      <c r="A101" s="18" t="n">
        <v>46259</v>
      </c>
      <c r="B101" s="16" t="inlineStr">
        <is>
          <t>R-04</t>
        </is>
      </c>
      <c r="C101" s="19" t="n">
        <v>2740</v>
      </c>
      <c r="D101" s="19" t="n">
        <v>13</v>
      </c>
      <c r="E101" s="16" t="n">
        <v>1</v>
      </c>
      <c r="F101" s="20" t="n">
        <v>0.004739999999999999</v>
      </c>
      <c r="G101" s="17" t="n">
        <v>40.89</v>
      </c>
      <c r="H101" s="17" t="n">
        <v>45.3</v>
      </c>
      <c r="I101" s="17" t="n">
        <v>89.59999999999999</v>
      </c>
      <c r="J101" s="21" t="n">
        <v>63</v>
      </c>
    </row>
    <row r="102">
      <c r="A102" s="18" t="n">
        <v>46260</v>
      </c>
      <c r="B102" s="16" t="inlineStr">
        <is>
          <t>R-01</t>
        </is>
      </c>
      <c r="C102" s="19" t="n">
        <v>2309</v>
      </c>
      <c r="D102" s="19" t="n">
        <v>9</v>
      </c>
      <c r="E102" s="16" t="n">
        <v>2</v>
      </c>
      <c r="F102" s="20" t="n">
        <v>0.0039</v>
      </c>
      <c r="G102" s="17" t="n">
        <v>39.89</v>
      </c>
      <c r="H102" s="17" t="n">
        <v>44.7</v>
      </c>
      <c r="I102" s="17" t="n">
        <v>91.7</v>
      </c>
      <c r="J102" s="21" t="n">
        <v>62.59999999999991</v>
      </c>
    </row>
    <row r="103">
      <c r="A103" s="18" t="n">
        <v>46260</v>
      </c>
      <c r="B103" s="16" t="inlineStr">
        <is>
          <t>R-02</t>
        </is>
      </c>
      <c r="C103" s="19" t="n">
        <v>2626</v>
      </c>
      <c r="D103" s="19" t="n">
        <v>12</v>
      </c>
      <c r="E103" s="16" t="n">
        <v>3</v>
      </c>
      <c r="F103" s="20" t="n">
        <v>0.00457</v>
      </c>
      <c r="G103" s="17" t="n">
        <v>41.93</v>
      </c>
      <c r="H103" s="17" t="n">
        <v>46.4</v>
      </c>
      <c r="I103" s="17" t="n">
        <v>92.8</v>
      </c>
      <c r="J103" s="21" t="n">
        <v>62.75</v>
      </c>
    </row>
    <row r="104">
      <c r="A104" s="18" t="n">
        <v>46260</v>
      </c>
      <c r="B104" s="16" t="inlineStr">
        <is>
          <t>R-03</t>
        </is>
      </c>
      <c r="C104" s="19" t="n">
        <v>2615</v>
      </c>
      <c r="D104" s="19" t="n">
        <v>46</v>
      </c>
      <c r="E104" s="16" t="n">
        <v>3</v>
      </c>
      <c r="F104" s="20" t="n">
        <v>0.01759</v>
      </c>
      <c r="G104" s="17" t="n">
        <v>46.65</v>
      </c>
      <c r="H104" s="17" t="n">
        <v>51.7</v>
      </c>
      <c r="I104" s="17" t="n">
        <v>94.90000000000001</v>
      </c>
      <c r="J104" s="21" t="n">
        <v>62</v>
      </c>
    </row>
    <row r="105">
      <c r="A105" s="18" t="n">
        <v>46260</v>
      </c>
      <c r="B105" s="16" t="inlineStr">
        <is>
          <t>R-04</t>
        </is>
      </c>
      <c r="C105" s="19" t="n">
        <v>2565</v>
      </c>
      <c r="D105" s="19" t="n">
        <v>10</v>
      </c>
      <c r="E105" s="16" t="n">
        <v>2</v>
      </c>
      <c r="F105" s="20" t="n">
        <v>0.0039</v>
      </c>
      <c r="G105" s="17" t="n">
        <v>40.89</v>
      </c>
      <c r="H105" s="17" t="n">
        <v>45.9</v>
      </c>
      <c r="I105" s="17" t="n">
        <v>95</v>
      </c>
      <c r="J105" s="21" t="n">
        <v>62</v>
      </c>
    </row>
    <row r="106">
      <c r="A106" s="18" t="n">
        <v>46261</v>
      </c>
      <c r="B106" s="16" t="inlineStr">
        <is>
          <t>R-01</t>
        </is>
      </c>
      <c r="C106" s="19" t="n">
        <v>2512</v>
      </c>
      <c r="D106" s="19" t="n">
        <v>10</v>
      </c>
      <c r="E106" s="16" t="n">
        <v>2</v>
      </c>
      <c r="F106" s="20" t="n">
        <v>0.00398</v>
      </c>
      <c r="G106" s="17" t="n">
        <v>39.88</v>
      </c>
      <c r="H106" s="17" t="n">
        <v>45.3</v>
      </c>
      <c r="I106" s="17" t="n">
        <v>92.2</v>
      </c>
      <c r="J106" s="21" t="n">
        <v>62</v>
      </c>
    </row>
    <row r="107">
      <c r="A107" s="18" t="n">
        <v>46261</v>
      </c>
      <c r="B107" s="16" t="inlineStr">
        <is>
          <t>R-02</t>
        </is>
      </c>
      <c r="C107" s="19" t="n">
        <v>2497</v>
      </c>
      <c r="D107" s="19" t="n">
        <v>10</v>
      </c>
      <c r="E107" s="16" t="n">
        <v>3</v>
      </c>
      <c r="F107" s="20" t="n">
        <v>0.004</v>
      </c>
      <c r="G107" s="17" t="n">
        <v>41.9</v>
      </c>
      <c r="H107" s="17" t="n">
        <v>47</v>
      </c>
      <c r="I107" s="17" t="n">
        <v>95.59999999999999</v>
      </c>
      <c r="J107" s="21" t="n">
        <v>62</v>
      </c>
    </row>
    <row r="108">
      <c r="A108" s="18" t="n">
        <v>46261</v>
      </c>
      <c r="B108" s="16" t="inlineStr">
        <is>
          <t>R-03</t>
        </is>
      </c>
      <c r="C108" s="19" t="n">
        <v>2341</v>
      </c>
      <c r="D108" s="19" t="n">
        <v>60</v>
      </c>
      <c r="E108" s="16" t="n">
        <v>1</v>
      </c>
      <c r="F108" s="20" t="n">
        <v>0.02563</v>
      </c>
      <c r="G108" s="17" t="n">
        <v>46.82</v>
      </c>
      <c r="H108" s="17" t="n">
        <v>51.8</v>
      </c>
      <c r="I108" s="17" t="n">
        <v>91.90000000000001</v>
      </c>
      <c r="J108" s="21" t="n">
        <v>63</v>
      </c>
    </row>
    <row r="109">
      <c r="A109" s="18" t="n">
        <v>46261</v>
      </c>
      <c r="B109" s="16" t="inlineStr">
        <is>
          <t>R-04</t>
        </is>
      </c>
      <c r="C109" s="19" t="n">
        <v>2469</v>
      </c>
      <c r="D109" s="19" t="n">
        <v>13</v>
      </c>
      <c r="E109" s="16" t="n">
        <v>1</v>
      </c>
      <c r="F109" s="20" t="n">
        <v>0.00527</v>
      </c>
      <c r="G109" s="17" t="n">
        <v>40.91</v>
      </c>
      <c r="H109" s="17" t="n">
        <v>45.7</v>
      </c>
      <c r="I109" s="17" t="n">
        <v>94</v>
      </c>
      <c r="J109" s="21" t="n">
        <v>61</v>
      </c>
    </row>
    <row r="110">
      <c r="A110" s="18" t="n">
        <v>46262</v>
      </c>
      <c r="B110" s="16" t="inlineStr">
        <is>
          <t>R-01</t>
        </is>
      </c>
      <c r="C110" s="19" t="n">
        <v>2376</v>
      </c>
      <c r="D110" s="19" t="n">
        <v>11</v>
      </c>
      <c r="E110" s="16" t="n">
        <v>5</v>
      </c>
      <c r="F110" s="20" t="n">
        <v>0.00463</v>
      </c>
      <c r="G110" s="17" t="n">
        <v>39.95</v>
      </c>
      <c r="H110" s="17" t="n">
        <v>44.4</v>
      </c>
      <c r="I110" s="17" t="n">
        <v>92.90000000000001</v>
      </c>
      <c r="J110" s="21" t="n">
        <v>64</v>
      </c>
    </row>
    <row r="111">
      <c r="A111" s="18" t="n">
        <v>46262</v>
      </c>
      <c r="B111" s="16" t="inlineStr">
        <is>
          <t>R-02</t>
        </is>
      </c>
      <c r="C111" s="19" t="n">
        <v>2406</v>
      </c>
      <c r="D111" s="19" t="n">
        <v>11</v>
      </c>
      <c r="E111" s="16" t="n">
        <v>2</v>
      </c>
      <c r="F111" s="20" t="n">
        <v>0.00457</v>
      </c>
      <c r="G111" s="17" t="n">
        <v>41.92</v>
      </c>
      <c r="H111" s="17" t="n">
        <v>46.5</v>
      </c>
      <c r="I111" s="17" t="n">
        <v>94.90000000000001</v>
      </c>
      <c r="J111" s="21" t="n">
        <v>62</v>
      </c>
    </row>
    <row r="112">
      <c r="A112" s="18" t="n">
        <v>46262</v>
      </c>
      <c r="B112" s="16" t="inlineStr">
        <is>
          <t>R-03</t>
        </is>
      </c>
      <c r="C112" s="19" t="n">
        <v>2432</v>
      </c>
      <c r="D112" s="19" t="n">
        <v>60</v>
      </c>
      <c r="E112" s="16" t="n">
        <v>4</v>
      </c>
      <c r="F112" s="20" t="n">
        <v>0.02467</v>
      </c>
      <c r="G112" s="17" t="n">
        <v>46.91</v>
      </c>
      <c r="H112" s="17" t="n">
        <v>51.4</v>
      </c>
      <c r="I112" s="17" t="n">
        <v>95.40000000000001</v>
      </c>
      <c r="J112" s="21" t="n">
        <v>63</v>
      </c>
    </row>
    <row r="113">
      <c r="A113" s="18" t="n">
        <v>46262</v>
      </c>
      <c r="B113" s="16" t="inlineStr">
        <is>
          <t>R-04</t>
        </is>
      </c>
      <c r="C113" s="19" t="n">
        <v>2652</v>
      </c>
      <c r="D113" s="19" t="n">
        <v>10</v>
      </c>
      <c r="E113" s="16" t="n">
        <v>2</v>
      </c>
      <c r="F113" s="20" t="n">
        <v>0.00377</v>
      </c>
      <c r="G113" s="17" t="n">
        <v>40.92</v>
      </c>
      <c r="H113" s="17" t="n">
        <v>45.4</v>
      </c>
      <c r="I113" s="17" t="n">
        <v>93.59999999999999</v>
      </c>
      <c r="J113" s="21" t="n">
        <v>64.44999999999982</v>
      </c>
    </row>
    <row r="114">
      <c r="A114" s="18" t="n">
        <v>46263</v>
      </c>
      <c r="B114" s="16" t="inlineStr">
        <is>
          <t>R-01</t>
        </is>
      </c>
      <c r="C114" s="19" t="n">
        <v>1163</v>
      </c>
      <c r="D114" s="19" t="n">
        <v>5</v>
      </c>
      <c r="E114" s="16" t="n">
        <v>1</v>
      </c>
      <c r="F114" s="20" t="n">
        <v>0.0043</v>
      </c>
      <c r="G114" s="17" t="n">
        <v>39.91</v>
      </c>
      <c r="H114" s="17" t="n">
        <v>44.9</v>
      </c>
      <c r="I114" s="17" t="n">
        <v>94.09999999999999</v>
      </c>
      <c r="J114" s="21" t="n">
        <v>64.89999999999986</v>
      </c>
    </row>
    <row r="115">
      <c r="A115" s="18" t="n">
        <v>46263</v>
      </c>
      <c r="B115" s="16" t="inlineStr">
        <is>
          <t>R-02</t>
        </is>
      </c>
      <c r="C115" s="19" t="n">
        <v>1376</v>
      </c>
      <c r="D115" s="19" t="n">
        <v>9</v>
      </c>
      <c r="E115" s="16" t="n">
        <v>0</v>
      </c>
      <c r="F115" s="20" t="n">
        <v>0.006540000000000001</v>
      </c>
      <c r="G115" s="17" t="n">
        <v>41.92</v>
      </c>
      <c r="H115" s="17" t="n">
        <v>47.1</v>
      </c>
      <c r="I115" s="17" t="n">
        <v>94.3</v>
      </c>
      <c r="J115" s="21" t="n">
        <v>64</v>
      </c>
    </row>
    <row r="116">
      <c r="A116" s="18" t="n">
        <v>46263</v>
      </c>
      <c r="B116" s="16" t="inlineStr">
        <is>
          <t>R-03</t>
        </is>
      </c>
      <c r="C116" s="19" t="n">
        <v>1494</v>
      </c>
      <c r="D116" s="19" t="n">
        <v>35</v>
      </c>
      <c r="E116" s="16" t="n">
        <v>0</v>
      </c>
      <c r="F116" s="20" t="n">
        <v>0.02343</v>
      </c>
      <c r="G116" s="17" t="n">
        <v>47.04</v>
      </c>
      <c r="H116" s="17" t="n">
        <v>51.8</v>
      </c>
      <c r="I116" s="17" t="n">
        <v>93.7</v>
      </c>
      <c r="J116" s="21" t="n">
        <v>63</v>
      </c>
    </row>
    <row r="117">
      <c r="A117" s="18" t="n">
        <v>46263</v>
      </c>
      <c r="B117" s="16" t="inlineStr">
        <is>
          <t>R-04</t>
        </is>
      </c>
      <c r="C117" s="19" t="n">
        <v>1408</v>
      </c>
      <c r="D117" s="19" t="n">
        <v>6</v>
      </c>
      <c r="E117" s="16" t="n">
        <v>2</v>
      </c>
      <c r="F117" s="20" t="n">
        <v>0.00426</v>
      </c>
      <c r="G117" s="17" t="n">
        <v>40.98</v>
      </c>
      <c r="H117" s="17" t="n">
        <v>45.9</v>
      </c>
      <c r="I117" s="17" t="n">
        <v>94.3</v>
      </c>
      <c r="J117" s="21" t="n">
        <v>60</v>
      </c>
    </row>
    <row r="118">
      <c r="A118" s="18" t="n">
        <v>46264</v>
      </c>
      <c r="B118" s="16" t="inlineStr">
        <is>
          <t>R-01</t>
        </is>
      </c>
      <c r="C118" s="19" t="n">
        <v>1448</v>
      </c>
      <c r="D118" s="19" t="n">
        <v>6</v>
      </c>
      <c r="E118" s="16" t="n">
        <v>1</v>
      </c>
      <c r="F118" s="20" t="n">
        <v>0.00414</v>
      </c>
      <c r="G118" s="17" t="n">
        <v>39.82</v>
      </c>
      <c r="H118" s="17" t="n">
        <v>44.6</v>
      </c>
      <c r="I118" s="17" t="n">
        <v>94.59999999999999</v>
      </c>
      <c r="J118" s="21" t="n">
        <v>61</v>
      </c>
    </row>
    <row r="119">
      <c r="A119" s="18" t="n">
        <v>46264</v>
      </c>
      <c r="B119" s="16" t="inlineStr">
        <is>
          <t>R-02</t>
        </is>
      </c>
      <c r="C119" s="19" t="n">
        <v>1692</v>
      </c>
      <c r="D119" s="19" t="n">
        <v>7</v>
      </c>
      <c r="E119" s="16" t="n">
        <v>2</v>
      </c>
      <c r="F119" s="20" t="n">
        <v>0.00414</v>
      </c>
      <c r="G119" s="17" t="n">
        <v>41.86</v>
      </c>
      <c r="H119" s="17" t="n">
        <v>46.9</v>
      </c>
      <c r="I119" s="17" t="n">
        <v>91.8</v>
      </c>
      <c r="J119" s="21" t="n">
        <v>62</v>
      </c>
    </row>
    <row r="120">
      <c r="A120" s="18" t="n">
        <v>46264</v>
      </c>
      <c r="B120" s="16" t="inlineStr">
        <is>
          <t>R-03</t>
        </is>
      </c>
      <c r="C120" s="19" t="n">
        <v>1423</v>
      </c>
      <c r="D120" s="19" t="n">
        <v>35</v>
      </c>
      <c r="E120" s="16" t="n">
        <v>4</v>
      </c>
      <c r="F120" s="20" t="n">
        <v>0.0246</v>
      </c>
      <c r="G120" s="17" t="n">
        <v>47.23</v>
      </c>
      <c r="H120" s="17" t="n">
        <v>51.6</v>
      </c>
      <c r="I120" s="17" t="n">
        <v>94.3</v>
      </c>
      <c r="J120" s="21" t="n">
        <v>61</v>
      </c>
    </row>
    <row r="121">
      <c r="A121" s="18" t="n">
        <v>46264</v>
      </c>
      <c r="B121" s="16" t="inlineStr">
        <is>
          <t>R-04</t>
        </is>
      </c>
      <c r="C121" s="19" t="n">
        <v>1421</v>
      </c>
      <c r="D121" s="19" t="n">
        <v>5</v>
      </c>
      <c r="E121" s="16" t="n">
        <v>0</v>
      </c>
      <c r="F121" s="20" t="n">
        <v>0.00352</v>
      </c>
      <c r="G121" s="17" t="n">
        <v>40.92</v>
      </c>
      <c r="H121" s="17" t="n">
        <v>45.9</v>
      </c>
      <c r="I121" s="17" t="n">
        <v>94.5</v>
      </c>
      <c r="J121" s="21" t="n">
        <v>61</v>
      </c>
    </row>
    <row r="122">
      <c r="A122" s="18" t="n">
        <v>46265</v>
      </c>
      <c r="B122" s="16" t="inlineStr">
        <is>
          <t>R-01</t>
        </is>
      </c>
      <c r="C122" s="19" t="n">
        <v>2427</v>
      </c>
      <c r="D122" s="19" t="n">
        <v>10</v>
      </c>
      <c r="E122" s="16" t="n">
        <v>1</v>
      </c>
      <c r="F122" s="20" t="n">
        <v>0.00412</v>
      </c>
      <c r="G122" s="17" t="n">
        <v>39.94</v>
      </c>
      <c r="H122" s="17" t="n">
        <v>44.5</v>
      </c>
      <c r="I122" s="17" t="n">
        <v>93.7</v>
      </c>
      <c r="J122" s="21" t="n">
        <v>59</v>
      </c>
    </row>
    <row r="123">
      <c r="A123" s="18" t="n">
        <v>46265</v>
      </c>
      <c r="B123" s="16" t="inlineStr">
        <is>
          <t>R-02</t>
        </is>
      </c>
      <c r="C123" s="19" t="n">
        <v>2333</v>
      </c>
      <c r="D123" s="19" t="n">
        <v>9</v>
      </c>
      <c r="E123" s="16" t="n">
        <v>1</v>
      </c>
      <c r="F123" s="20" t="n">
        <v>0.00386</v>
      </c>
      <c r="G123" s="17" t="n">
        <v>41.92</v>
      </c>
      <c r="H123" s="17" t="n">
        <v>46.8</v>
      </c>
      <c r="I123" s="17" t="n">
        <v>94.40000000000001</v>
      </c>
      <c r="J123" s="21" t="n">
        <v>64</v>
      </c>
    </row>
    <row r="124">
      <c r="A124" s="18" t="n">
        <v>46265</v>
      </c>
      <c r="B124" s="16" t="inlineStr">
        <is>
          <t>R-03</t>
        </is>
      </c>
      <c r="C124" s="19" t="n">
        <v>2557</v>
      </c>
      <c r="D124" s="19" t="n">
        <v>64</v>
      </c>
      <c r="E124" s="16" t="n">
        <v>2</v>
      </c>
      <c r="F124" s="20" t="n">
        <v>0.02503</v>
      </c>
      <c r="G124" s="17" t="n">
        <v>47.4</v>
      </c>
      <c r="H124" s="17" t="n">
        <v>51.8</v>
      </c>
      <c r="I124" s="17" t="n">
        <v>92.7</v>
      </c>
      <c r="J124" s="21" t="n">
        <v>63</v>
      </c>
    </row>
    <row r="125">
      <c r="A125" s="18" t="n">
        <v>46265</v>
      </c>
      <c r="B125" s="16" t="inlineStr">
        <is>
          <t>R-04</t>
        </is>
      </c>
      <c r="C125" s="19" t="n">
        <v>2530</v>
      </c>
      <c r="D125" s="19" t="n">
        <v>3</v>
      </c>
      <c r="E125" s="16" t="n">
        <v>3</v>
      </c>
      <c r="F125" s="20" t="n">
        <v>0.00119</v>
      </c>
      <c r="G125" s="17" t="n">
        <v>40.89</v>
      </c>
      <c r="H125" s="17" t="n">
        <v>45</v>
      </c>
      <c r="I125" s="17" t="n">
        <v>96.2</v>
      </c>
      <c r="J125" s="21" t="n">
        <v>63</v>
      </c>
    </row>
    <row r="126">
      <c r="A126" s="18" t="n">
        <v>46266</v>
      </c>
      <c r="B126" s="16" t="inlineStr">
        <is>
          <t>R-01</t>
        </is>
      </c>
      <c r="C126" s="19" t="n">
        <v>2599</v>
      </c>
      <c r="D126" s="19" t="n">
        <v>9</v>
      </c>
      <c r="E126" s="16" t="n">
        <v>2</v>
      </c>
      <c r="F126" s="20" t="n">
        <v>0.00346</v>
      </c>
      <c r="G126" s="17" t="n">
        <v>39.93</v>
      </c>
      <c r="H126" s="17" t="n">
        <v>45.5</v>
      </c>
      <c r="I126" s="17" t="n">
        <v>91.40000000000001</v>
      </c>
      <c r="J126" s="21" t="n">
        <v>62</v>
      </c>
    </row>
    <row r="127">
      <c r="A127" s="18" t="n">
        <v>46266</v>
      </c>
      <c r="B127" s="16" t="inlineStr">
        <is>
          <t>R-02</t>
        </is>
      </c>
      <c r="C127" s="19" t="n">
        <v>2793</v>
      </c>
      <c r="D127" s="19" t="n">
        <v>8</v>
      </c>
      <c r="E127" s="16" t="n">
        <v>5</v>
      </c>
      <c r="F127" s="20" t="n">
        <v>0.00286</v>
      </c>
      <c r="G127" s="17" t="n">
        <v>41.94</v>
      </c>
      <c r="H127" s="17" t="n">
        <v>47.4</v>
      </c>
      <c r="I127" s="17" t="n">
        <v>93.7</v>
      </c>
      <c r="J127" s="21" t="n">
        <v>63</v>
      </c>
    </row>
    <row r="128">
      <c r="A128" s="18" t="n">
        <v>46266</v>
      </c>
      <c r="B128" s="16" t="inlineStr">
        <is>
          <t>R-03</t>
        </is>
      </c>
      <c r="C128" s="19" t="n">
        <v>2617</v>
      </c>
      <c r="D128" s="19" t="n">
        <v>74</v>
      </c>
      <c r="E128" s="16" t="n">
        <v>1</v>
      </c>
      <c r="F128" s="20" t="n">
        <v>0.02828</v>
      </c>
      <c r="G128" s="17" t="n">
        <v>47.56</v>
      </c>
      <c r="H128" s="17" t="n">
        <v>52.6</v>
      </c>
      <c r="I128" s="17" t="n">
        <v>94.7</v>
      </c>
      <c r="J128" s="21" t="n">
        <v>64</v>
      </c>
    </row>
    <row r="129">
      <c r="A129" s="18" t="n">
        <v>46266</v>
      </c>
      <c r="B129" s="16" t="inlineStr">
        <is>
          <t>R-04</t>
        </is>
      </c>
      <c r="C129" s="19" t="n">
        <v>2650</v>
      </c>
      <c r="D129" s="19" t="n">
        <v>18</v>
      </c>
      <c r="E129" s="16" t="n">
        <v>2</v>
      </c>
      <c r="F129" s="20" t="n">
        <v>0.006790000000000001</v>
      </c>
      <c r="G129" s="17" t="n">
        <v>40.88</v>
      </c>
      <c r="H129" s="17" t="n">
        <v>45.2</v>
      </c>
      <c r="I129" s="17" t="n">
        <v>89</v>
      </c>
      <c r="J129" s="21" t="n">
        <v>62</v>
      </c>
    </row>
    <row r="130">
      <c r="A130" s="18" t="n">
        <v>46267</v>
      </c>
      <c r="B130" s="16" t="inlineStr">
        <is>
          <t>R-01</t>
        </is>
      </c>
      <c r="C130" s="19" t="n">
        <v>2608</v>
      </c>
      <c r="D130" s="19" t="n">
        <v>9</v>
      </c>
      <c r="E130" s="16" t="n">
        <v>4</v>
      </c>
      <c r="F130" s="20" t="n">
        <v>0.00345</v>
      </c>
      <c r="G130" s="17" t="n">
        <v>39.86</v>
      </c>
      <c r="H130" s="17" t="n">
        <v>45.1</v>
      </c>
      <c r="I130" s="17" t="n">
        <v>95.7</v>
      </c>
      <c r="J130" s="21" t="n">
        <v>62</v>
      </c>
    </row>
    <row r="131">
      <c r="A131" s="18" t="n">
        <v>46267</v>
      </c>
      <c r="B131" s="16" t="inlineStr">
        <is>
          <t>R-02</t>
        </is>
      </c>
      <c r="C131" s="19" t="n">
        <v>2736</v>
      </c>
      <c r="D131" s="19" t="n">
        <v>7</v>
      </c>
      <c r="E131" s="16" t="n">
        <v>4</v>
      </c>
      <c r="F131" s="20" t="n">
        <v>0.00256</v>
      </c>
      <c r="G131" s="17" t="n">
        <v>41.91</v>
      </c>
      <c r="H131" s="17" t="n">
        <v>47.3</v>
      </c>
      <c r="I131" s="17" t="n">
        <v>94.09999999999999</v>
      </c>
      <c r="J131" s="21" t="n">
        <v>61</v>
      </c>
    </row>
    <row r="132">
      <c r="A132" s="18" t="n">
        <v>46267</v>
      </c>
      <c r="B132" s="16" t="inlineStr">
        <is>
          <t>R-03</t>
        </is>
      </c>
      <c r="C132" s="19" t="n">
        <v>2423</v>
      </c>
      <c r="D132" s="19" t="n">
        <v>67</v>
      </c>
      <c r="E132" s="16" t="n">
        <v>2</v>
      </c>
      <c r="F132" s="20" t="n">
        <v>0.02765</v>
      </c>
      <c r="G132" s="17" t="n">
        <v>47.73</v>
      </c>
      <c r="H132" s="17" t="n">
        <v>51.9</v>
      </c>
      <c r="I132" s="17" t="n">
        <v>94</v>
      </c>
      <c r="J132" s="21" t="n">
        <v>61.90000000000009</v>
      </c>
    </row>
    <row r="133">
      <c r="A133" s="18" t="n">
        <v>46267</v>
      </c>
      <c r="B133" s="16" t="inlineStr">
        <is>
          <t>R-04</t>
        </is>
      </c>
      <c r="C133" s="19" t="n">
        <v>2497</v>
      </c>
      <c r="D133" s="19" t="n">
        <v>12</v>
      </c>
      <c r="E133" s="16" t="n">
        <v>0</v>
      </c>
      <c r="F133" s="20" t="n">
        <v>0.00481</v>
      </c>
      <c r="G133" s="17" t="n">
        <v>40.89</v>
      </c>
      <c r="H133" s="17" t="n">
        <v>45.9</v>
      </c>
      <c r="I133" s="17" t="n">
        <v>94.09999999999999</v>
      </c>
      <c r="J133" s="21" t="n">
        <v>63</v>
      </c>
    </row>
    <row r="134">
      <c r="A134" s="18" t="n">
        <v>46268</v>
      </c>
      <c r="B134" s="16" t="inlineStr">
        <is>
          <t>R-01</t>
        </is>
      </c>
      <c r="C134" s="19" t="n">
        <v>2667</v>
      </c>
      <c r="D134" s="19" t="n">
        <v>17</v>
      </c>
      <c r="E134" s="16" t="n">
        <v>4</v>
      </c>
      <c r="F134" s="20" t="n">
        <v>0.00637</v>
      </c>
      <c r="G134" s="17" t="n">
        <v>39.92</v>
      </c>
      <c r="H134" s="17" t="n">
        <v>44.8</v>
      </c>
      <c r="I134" s="17" t="n">
        <v>95.2</v>
      </c>
      <c r="J134" s="21" t="n">
        <v>61</v>
      </c>
    </row>
    <row r="135">
      <c r="A135" s="18" t="n">
        <v>46268</v>
      </c>
      <c r="B135" s="16" t="inlineStr">
        <is>
          <t>R-02</t>
        </is>
      </c>
      <c r="C135" s="19" t="n">
        <v>2578</v>
      </c>
      <c r="D135" s="19" t="n">
        <v>7</v>
      </c>
      <c r="E135" s="16" t="n">
        <v>1</v>
      </c>
      <c r="F135" s="20" t="n">
        <v>0.00272</v>
      </c>
      <c r="G135" s="17" t="n">
        <v>41.88</v>
      </c>
      <c r="H135" s="17" t="n">
        <v>46.3</v>
      </c>
      <c r="I135" s="17" t="n">
        <v>95.40000000000001</v>
      </c>
      <c r="J135" s="21" t="n">
        <v>63</v>
      </c>
    </row>
    <row r="136">
      <c r="A136" s="18" t="n">
        <v>46268</v>
      </c>
      <c r="B136" s="16" t="inlineStr">
        <is>
          <t>R-03</t>
        </is>
      </c>
      <c r="C136" s="19" t="n">
        <v>2392</v>
      </c>
      <c r="D136" s="19" t="n">
        <v>73</v>
      </c>
      <c r="E136" s="16" t="n">
        <v>3</v>
      </c>
      <c r="F136" s="20" t="n">
        <v>0.03052</v>
      </c>
      <c r="G136" s="17" t="n">
        <v>47.87</v>
      </c>
      <c r="H136" s="17" t="n">
        <v>52.5</v>
      </c>
      <c r="I136" s="17" t="n">
        <v>94.90000000000001</v>
      </c>
      <c r="J136" s="21" t="n">
        <v>62</v>
      </c>
    </row>
    <row r="137">
      <c r="A137" s="18" t="n">
        <v>46268</v>
      </c>
      <c r="B137" s="16" t="inlineStr">
        <is>
          <t>R-04</t>
        </is>
      </c>
      <c r="C137" s="19" t="n">
        <v>2633</v>
      </c>
      <c r="D137" s="19" t="n">
        <v>14</v>
      </c>
      <c r="E137" s="16" t="n">
        <v>3</v>
      </c>
      <c r="F137" s="20" t="n">
        <v>0.00532</v>
      </c>
      <c r="G137" s="17" t="n">
        <v>40.88</v>
      </c>
      <c r="H137" s="17" t="n">
        <v>46</v>
      </c>
      <c r="I137" s="17" t="n">
        <v>90.5</v>
      </c>
      <c r="J137" s="21" t="n">
        <v>63</v>
      </c>
    </row>
    <row r="138">
      <c r="A138" s="18" t="n">
        <v>46269</v>
      </c>
      <c r="B138" s="16" t="inlineStr">
        <is>
          <t>R-01</t>
        </is>
      </c>
      <c r="C138" s="19" t="n">
        <v>2818</v>
      </c>
      <c r="D138" s="19" t="n">
        <v>7</v>
      </c>
      <c r="E138" s="16" t="n">
        <v>3</v>
      </c>
      <c r="F138" s="20" t="n">
        <v>0.00248</v>
      </c>
      <c r="G138" s="17" t="n">
        <v>39.9</v>
      </c>
      <c r="H138" s="17" t="n">
        <v>44.9</v>
      </c>
      <c r="I138" s="17" t="n">
        <v>95.7</v>
      </c>
      <c r="J138" s="21" t="n">
        <v>63</v>
      </c>
    </row>
    <row r="139">
      <c r="A139" s="18" t="n">
        <v>46269</v>
      </c>
      <c r="B139" s="16" t="inlineStr">
        <is>
          <t>R-02</t>
        </is>
      </c>
      <c r="C139" s="19" t="n">
        <v>2802</v>
      </c>
      <c r="D139" s="19" t="n">
        <v>17</v>
      </c>
      <c r="E139" s="16" t="n">
        <v>0</v>
      </c>
      <c r="F139" s="20" t="n">
        <v>0.00607</v>
      </c>
      <c r="G139" s="17" t="n">
        <v>41.9</v>
      </c>
      <c r="H139" s="17" t="n">
        <v>46.7</v>
      </c>
      <c r="I139" s="17" t="n">
        <v>92.5</v>
      </c>
      <c r="J139" s="21" t="n">
        <v>65</v>
      </c>
    </row>
    <row r="140">
      <c r="A140" s="18" t="n">
        <v>46269</v>
      </c>
      <c r="B140" s="16" t="inlineStr">
        <is>
          <t>R-03</t>
        </is>
      </c>
      <c r="C140" s="19" t="n">
        <v>2643</v>
      </c>
      <c r="D140" s="19" t="n">
        <v>69</v>
      </c>
      <c r="E140" s="16" t="n">
        <v>4</v>
      </c>
      <c r="F140" s="20" t="n">
        <v>0.02611</v>
      </c>
      <c r="G140" s="17" t="n">
        <v>48.01</v>
      </c>
      <c r="H140" s="17" t="n">
        <v>52.4</v>
      </c>
      <c r="I140" s="17" t="n">
        <v>94.40000000000001</v>
      </c>
      <c r="J140" s="21" t="n">
        <v>62</v>
      </c>
    </row>
    <row r="141">
      <c r="A141" s="18" t="n">
        <v>46269</v>
      </c>
      <c r="B141" s="16" t="inlineStr">
        <is>
          <t>R-04</t>
        </is>
      </c>
      <c r="C141" s="19" t="n">
        <v>2513</v>
      </c>
      <c r="D141" s="19" t="n">
        <v>9</v>
      </c>
      <c r="E141" s="16" t="n">
        <v>3</v>
      </c>
      <c r="F141" s="20" t="n">
        <v>0.00358</v>
      </c>
      <c r="G141" s="17" t="n">
        <v>40.88</v>
      </c>
      <c r="H141" s="17" t="n">
        <v>45.8</v>
      </c>
      <c r="I141" s="17" t="n">
        <v>94.40000000000001</v>
      </c>
      <c r="J141" s="21" t="n">
        <v>63</v>
      </c>
    </row>
    <row r="142">
      <c r="A142" s="18" t="n">
        <v>46270</v>
      </c>
      <c r="B142" s="16" t="inlineStr">
        <is>
          <t>R-01</t>
        </is>
      </c>
      <c r="C142" s="19" t="n">
        <v>1480</v>
      </c>
      <c r="D142" s="19" t="n">
        <v>10</v>
      </c>
      <c r="E142" s="16" t="n">
        <v>1</v>
      </c>
      <c r="F142" s="20" t="n">
        <v>0.00676</v>
      </c>
      <c r="G142" s="17" t="n">
        <v>39.9</v>
      </c>
      <c r="H142" s="17" t="n">
        <v>44.5</v>
      </c>
      <c r="I142" s="17" t="n">
        <v>94</v>
      </c>
      <c r="J142" s="21" t="n">
        <v>63</v>
      </c>
    </row>
    <row r="143">
      <c r="A143" s="18" t="n">
        <v>46270</v>
      </c>
      <c r="B143" s="16" t="inlineStr">
        <is>
          <t>R-02</t>
        </is>
      </c>
      <c r="C143" s="19" t="n">
        <v>1411</v>
      </c>
      <c r="D143" s="19" t="n">
        <v>7</v>
      </c>
      <c r="E143" s="16" t="n">
        <v>1</v>
      </c>
      <c r="F143" s="20" t="n">
        <v>0.00496</v>
      </c>
      <c r="G143" s="17" t="n">
        <v>41.93</v>
      </c>
      <c r="H143" s="17" t="n">
        <v>46.1</v>
      </c>
      <c r="I143" s="17" t="n">
        <v>94.8</v>
      </c>
      <c r="J143" s="21" t="n">
        <v>64.5</v>
      </c>
    </row>
    <row r="144">
      <c r="A144" s="18" t="n">
        <v>46270</v>
      </c>
      <c r="B144" s="16" t="inlineStr">
        <is>
          <t>R-03</t>
        </is>
      </c>
      <c r="C144" s="19" t="n">
        <v>1473</v>
      </c>
      <c r="D144" s="19" t="n">
        <v>39</v>
      </c>
      <c r="E144" s="16" t="n">
        <v>1</v>
      </c>
      <c r="F144" s="20" t="n">
        <v>0.02648</v>
      </c>
      <c r="G144" s="17" t="n">
        <v>48.2</v>
      </c>
      <c r="H144" s="17" t="n">
        <v>52.5</v>
      </c>
      <c r="I144" s="17" t="n">
        <v>94.90000000000001</v>
      </c>
      <c r="J144" s="21" t="n">
        <v>62.39999999999986</v>
      </c>
    </row>
    <row r="145">
      <c r="A145" s="18" t="n">
        <v>46270</v>
      </c>
      <c r="B145" s="16" t="inlineStr">
        <is>
          <t>R-04</t>
        </is>
      </c>
      <c r="C145" s="19" t="n">
        <v>1300</v>
      </c>
      <c r="D145" s="19" t="n">
        <v>3</v>
      </c>
      <c r="E145" s="16" t="n">
        <v>0</v>
      </c>
      <c r="F145" s="20" t="n">
        <v>0.00231</v>
      </c>
      <c r="G145" s="17" t="n">
        <v>40.93</v>
      </c>
      <c r="H145" s="17" t="n">
        <v>45.1</v>
      </c>
      <c r="I145" s="17" t="n">
        <v>95.2</v>
      </c>
      <c r="J145" s="21" t="n">
        <v>62</v>
      </c>
    </row>
    <row r="146">
      <c r="A146" s="18" t="n">
        <v>46271</v>
      </c>
      <c r="B146" s="16" t="inlineStr">
        <is>
          <t>R-01</t>
        </is>
      </c>
      <c r="C146" s="19" t="n">
        <v>1381</v>
      </c>
      <c r="D146" s="19" t="n">
        <v>4</v>
      </c>
      <c r="E146" s="16" t="n">
        <v>3</v>
      </c>
      <c r="F146" s="20" t="n">
        <v>0.0029</v>
      </c>
      <c r="G146" s="17" t="n">
        <v>39.87</v>
      </c>
      <c r="H146" s="17" t="n">
        <v>45.1</v>
      </c>
      <c r="I146" s="17" t="n">
        <v>94.09999999999999</v>
      </c>
      <c r="J146" s="21" t="n">
        <v>65</v>
      </c>
    </row>
    <row r="147">
      <c r="A147" s="18" t="n">
        <v>46271</v>
      </c>
      <c r="B147" s="16" t="inlineStr">
        <is>
          <t>R-02</t>
        </is>
      </c>
      <c r="C147" s="19" t="n">
        <v>1498</v>
      </c>
      <c r="D147" s="19" t="n">
        <v>4</v>
      </c>
      <c r="E147" s="16" t="n">
        <v>0</v>
      </c>
      <c r="F147" s="20" t="n">
        <v>0.00267</v>
      </c>
      <c r="G147" s="17" t="n">
        <v>41.93</v>
      </c>
      <c r="H147" s="17" t="n">
        <v>47</v>
      </c>
      <c r="I147" s="17" t="n">
        <v>95.09999999999999</v>
      </c>
      <c r="J147" s="21" t="n">
        <v>62</v>
      </c>
    </row>
    <row r="148">
      <c r="A148" s="18" t="n">
        <v>46271</v>
      </c>
      <c r="B148" s="16" t="inlineStr">
        <is>
          <t>R-03</t>
        </is>
      </c>
      <c r="C148" s="19" t="n">
        <v>1514</v>
      </c>
      <c r="D148" s="19" t="n">
        <v>62</v>
      </c>
      <c r="E148" s="16" t="n">
        <v>0</v>
      </c>
      <c r="F148" s="20" t="n">
        <v>0.04095</v>
      </c>
      <c r="G148" s="17" t="n">
        <v>48.31</v>
      </c>
      <c r="H148" s="17" t="n">
        <v>52.9</v>
      </c>
      <c r="I148" s="17" t="n">
        <v>93.7</v>
      </c>
      <c r="J148" s="21" t="n">
        <v>61.34999999999991</v>
      </c>
    </row>
    <row r="149">
      <c r="A149" s="18" t="n">
        <v>46271</v>
      </c>
      <c r="B149" s="16" t="inlineStr">
        <is>
          <t>R-04</t>
        </is>
      </c>
      <c r="C149" s="19" t="n">
        <v>1463</v>
      </c>
      <c r="D149" s="19" t="n">
        <v>4</v>
      </c>
      <c r="E149" s="16" t="n">
        <v>3</v>
      </c>
      <c r="F149" s="20" t="n">
        <v>0.00273</v>
      </c>
      <c r="G149" s="17" t="n">
        <v>40.87</v>
      </c>
      <c r="H149" s="17" t="n">
        <v>44.9</v>
      </c>
      <c r="I149" s="17" t="n">
        <v>94.2</v>
      </c>
      <c r="J149" s="21" t="n">
        <v>64</v>
      </c>
    </row>
    <row r="150">
      <c r="A150" s="18" t="n">
        <v>46272</v>
      </c>
      <c r="B150" s="16" t="inlineStr">
        <is>
          <t>R-01</t>
        </is>
      </c>
      <c r="C150" s="19" t="n">
        <v>2620</v>
      </c>
      <c r="D150" s="19" t="n">
        <v>14</v>
      </c>
      <c r="E150" s="16" t="n">
        <v>5</v>
      </c>
      <c r="F150" s="20" t="n">
        <v>0.00534</v>
      </c>
      <c r="G150" s="17" t="n">
        <v>39.91</v>
      </c>
      <c r="H150" s="17" t="n">
        <v>44.3</v>
      </c>
      <c r="I150" s="17" t="n">
        <v>93.90000000000001</v>
      </c>
      <c r="J150" s="21" t="n">
        <v>60</v>
      </c>
    </row>
    <row r="151">
      <c r="A151" s="18" t="n">
        <v>46272</v>
      </c>
      <c r="B151" s="16" t="inlineStr">
        <is>
          <t>R-02</t>
        </is>
      </c>
      <c r="C151" s="19" t="n">
        <v>2802</v>
      </c>
      <c r="D151" s="19" t="n">
        <v>13</v>
      </c>
      <c r="E151" s="16" t="n">
        <v>2</v>
      </c>
      <c r="F151" s="20" t="n">
        <v>0.00464</v>
      </c>
      <c r="G151" s="17" t="n">
        <v>41.86</v>
      </c>
      <c r="H151" s="17" t="n">
        <v>46.7</v>
      </c>
      <c r="I151" s="17" t="n">
        <v>92.90000000000001</v>
      </c>
      <c r="J151" s="21" t="n">
        <v>60</v>
      </c>
    </row>
    <row r="152">
      <c r="A152" s="18" t="n">
        <v>46272</v>
      </c>
      <c r="B152" s="16" t="inlineStr">
        <is>
          <t>R-03</t>
        </is>
      </c>
      <c r="C152" s="19" t="n">
        <v>2684</v>
      </c>
      <c r="D152" s="19" t="n">
        <v>89</v>
      </c>
      <c r="E152" s="16" t="n">
        <v>4</v>
      </c>
      <c r="F152" s="20" t="n">
        <v>0.03316</v>
      </c>
      <c r="G152" s="17" t="n">
        <v>48.49</v>
      </c>
      <c r="H152" s="17" t="n">
        <v>53.1</v>
      </c>
      <c r="I152" s="17" t="n">
        <v>91</v>
      </c>
      <c r="J152" s="21" t="n">
        <v>62</v>
      </c>
    </row>
    <row r="153">
      <c r="A153" s="18" t="n">
        <v>46272</v>
      </c>
      <c r="B153" s="16" t="inlineStr">
        <is>
          <t>R-04</t>
        </is>
      </c>
      <c r="C153" s="19" t="n">
        <v>2483</v>
      </c>
      <c r="D153" s="19" t="n">
        <v>6</v>
      </c>
      <c r="E153" s="16" t="n">
        <v>1</v>
      </c>
      <c r="F153" s="20" t="n">
        <v>0.00242</v>
      </c>
      <c r="G153" s="17" t="n">
        <v>40.88</v>
      </c>
      <c r="H153" s="17" t="n">
        <v>45.4</v>
      </c>
      <c r="I153" s="17" t="n">
        <v>93.5</v>
      </c>
      <c r="J153" s="21" t="n">
        <v>61</v>
      </c>
    </row>
    <row r="154">
      <c r="A154" s="18" t="n">
        <v>46273</v>
      </c>
      <c r="B154" s="16" t="inlineStr">
        <is>
          <t>R-01</t>
        </is>
      </c>
      <c r="C154" s="19" t="n">
        <v>2480</v>
      </c>
      <c r="D154" s="19" t="n">
        <v>13</v>
      </c>
      <c r="E154" s="16" t="n">
        <v>2</v>
      </c>
      <c r="F154" s="20" t="n">
        <v>0.00524</v>
      </c>
      <c r="G154" s="17" t="n">
        <v>39.92</v>
      </c>
      <c r="H154" s="17" t="n">
        <v>45.1</v>
      </c>
      <c r="I154" s="17" t="n">
        <v>94.59999999999999</v>
      </c>
      <c r="J154" s="21" t="n">
        <v>63</v>
      </c>
    </row>
    <row r="155">
      <c r="A155" s="18" t="n">
        <v>46273</v>
      </c>
      <c r="B155" s="16" t="inlineStr">
        <is>
          <t>R-02</t>
        </is>
      </c>
      <c r="C155" s="19" t="n">
        <v>2558</v>
      </c>
      <c r="D155" s="19" t="n">
        <v>14</v>
      </c>
      <c r="E155" s="16" t="n">
        <v>3</v>
      </c>
      <c r="F155" s="20" t="n">
        <v>0.00547</v>
      </c>
      <c r="G155" s="17" t="n">
        <v>41.86</v>
      </c>
      <c r="H155" s="17" t="n">
        <v>47.5</v>
      </c>
      <c r="I155" s="17" t="n">
        <v>93.40000000000001</v>
      </c>
      <c r="J155" s="21" t="n">
        <v>61.15000000000009</v>
      </c>
    </row>
    <row r="156">
      <c r="A156" s="18" t="n">
        <v>46273</v>
      </c>
      <c r="B156" s="16" t="inlineStr">
        <is>
          <t>R-03</t>
        </is>
      </c>
      <c r="C156" s="19" t="n">
        <v>2848</v>
      </c>
      <c r="D156" s="19" t="n">
        <v>83</v>
      </c>
      <c r="E156" s="16" t="n">
        <v>6</v>
      </c>
      <c r="F156" s="20" t="n">
        <v>0.02914</v>
      </c>
      <c r="G156" s="17" t="n">
        <v>48.6</v>
      </c>
      <c r="H156" s="17" t="n">
        <v>53.4</v>
      </c>
      <c r="I156" s="17" t="n">
        <v>94.40000000000001</v>
      </c>
      <c r="J156" s="21" t="n">
        <v>62</v>
      </c>
    </row>
    <row r="157">
      <c r="A157" s="18" t="n">
        <v>46273</v>
      </c>
      <c r="B157" s="16" t="inlineStr">
        <is>
          <t>R-04</t>
        </is>
      </c>
      <c r="C157" s="19" t="n">
        <v>2688</v>
      </c>
      <c r="D157" s="19" t="n">
        <v>13</v>
      </c>
      <c r="E157" s="16" t="n">
        <v>2</v>
      </c>
      <c r="F157" s="20" t="n">
        <v>0.00484</v>
      </c>
      <c r="G157" s="17" t="n">
        <v>40.95</v>
      </c>
      <c r="H157" s="17" t="n">
        <v>45</v>
      </c>
      <c r="I157" s="17" t="n">
        <v>93.8</v>
      </c>
      <c r="J157" s="21" t="n">
        <v>62</v>
      </c>
    </row>
    <row r="158">
      <c r="A158" s="18" t="n">
        <v>46274</v>
      </c>
      <c r="B158" s="16" t="inlineStr">
        <is>
          <t>R-01</t>
        </is>
      </c>
      <c r="C158" s="19" t="n">
        <v>2676</v>
      </c>
      <c r="D158" s="19" t="n">
        <v>12</v>
      </c>
      <c r="E158" s="16" t="n">
        <v>3</v>
      </c>
      <c r="F158" s="20" t="n">
        <v>0.00448</v>
      </c>
      <c r="G158" s="17" t="n">
        <v>39.92</v>
      </c>
      <c r="H158" s="17" t="n">
        <v>45.4</v>
      </c>
      <c r="I158" s="17" t="n">
        <v>94.8</v>
      </c>
      <c r="J158" s="21" t="n">
        <v>63</v>
      </c>
    </row>
    <row r="159">
      <c r="A159" s="18" t="n">
        <v>46274</v>
      </c>
      <c r="B159" s="16" t="inlineStr">
        <is>
          <t>R-02</t>
        </is>
      </c>
      <c r="C159" s="19" t="n">
        <v>2478</v>
      </c>
      <c r="D159" s="19" t="n">
        <v>16</v>
      </c>
      <c r="E159" s="16" t="n">
        <v>2</v>
      </c>
      <c r="F159" s="20" t="n">
        <v>0.00646</v>
      </c>
      <c r="G159" s="17" t="n">
        <v>41.87</v>
      </c>
      <c r="H159" s="17" t="n">
        <v>46.8</v>
      </c>
      <c r="I159" s="17" t="n">
        <v>94.5</v>
      </c>
      <c r="J159" s="21" t="n">
        <v>62</v>
      </c>
    </row>
    <row r="160">
      <c r="A160" s="18" t="n">
        <v>46274</v>
      </c>
      <c r="B160" s="16" t="inlineStr">
        <is>
          <t>R-03</t>
        </is>
      </c>
      <c r="C160" s="19" t="n">
        <v>2535</v>
      </c>
      <c r="D160" s="19" t="n">
        <v>72</v>
      </c>
      <c r="E160" s="16" t="n">
        <v>1</v>
      </c>
      <c r="F160" s="20" t="n">
        <v>0.0284</v>
      </c>
      <c r="G160" s="17" t="n">
        <v>48.78</v>
      </c>
      <c r="H160" s="17" t="n">
        <v>53.5</v>
      </c>
      <c r="I160" s="17" t="n">
        <v>93</v>
      </c>
      <c r="J160" s="21" t="n">
        <v>62</v>
      </c>
    </row>
    <row r="161">
      <c r="A161" s="18" t="n">
        <v>46274</v>
      </c>
      <c r="B161" s="16" t="inlineStr">
        <is>
          <t>R-04</t>
        </is>
      </c>
      <c r="C161" s="19" t="n">
        <v>2659</v>
      </c>
      <c r="D161" s="19" t="n">
        <v>10</v>
      </c>
      <c r="E161" s="16" t="n">
        <v>2</v>
      </c>
      <c r="F161" s="20" t="n">
        <v>0.00376</v>
      </c>
      <c r="G161" s="17" t="n">
        <v>40.93</v>
      </c>
      <c r="H161" s="17" t="n">
        <v>45.6</v>
      </c>
      <c r="I161" s="17" t="n">
        <v>95.8</v>
      </c>
      <c r="J161" s="21" t="n">
        <v>63</v>
      </c>
    </row>
    <row r="162">
      <c r="A162" s="18" t="n">
        <v>46275</v>
      </c>
      <c r="B162" s="16" t="inlineStr">
        <is>
          <t>R-01</t>
        </is>
      </c>
      <c r="C162" s="19" t="n">
        <v>2630</v>
      </c>
      <c r="D162" s="19" t="n">
        <v>11</v>
      </c>
      <c r="E162" s="16" t="n">
        <v>1</v>
      </c>
      <c r="F162" s="20" t="n">
        <v>0.00418</v>
      </c>
      <c r="G162" s="17" t="n">
        <v>39.92</v>
      </c>
      <c r="H162" s="17" t="n">
        <v>45.7</v>
      </c>
      <c r="I162" s="17" t="n">
        <v>93</v>
      </c>
      <c r="J162" s="21" t="n">
        <v>62</v>
      </c>
    </row>
    <row r="163">
      <c r="A163" s="18" t="n">
        <v>46275</v>
      </c>
      <c r="B163" s="16" t="inlineStr">
        <is>
          <t>R-02</t>
        </is>
      </c>
      <c r="C163" s="19" t="n">
        <v>2746</v>
      </c>
      <c r="D163" s="19" t="n">
        <v>9</v>
      </c>
      <c r="E163" s="16" t="n">
        <v>7</v>
      </c>
      <c r="F163" s="20" t="n">
        <v>0.00328</v>
      </c>
      <c r="G163" s="17" t="n">
        <v>41.94</v>
      </c>
      <c r="H163" s="17" t="n">
        <v>46.5</v>
      </c>
      <c r="I163" s="17" t="n">
        <v>93.09999999999999</v>
      </c>
      <c r="J163" s="21" t="n">
        <v>64</v>
      </c>
    </row>
    <row r="164">
      <c r="A164" s="18" t="n">
        <v>46275</v>
      </c>
      <c r="B164" s="16" t="inlineStr">
        <is>
          <t>R-03</t>
        </is>
      </c>
      <c r="C164" s="19" t="n">
        <v>2601</v>
      </c>
      <c r="D164" s="19" t="n">
        <v>76</v>
      </c>
      <c r="E164" s="16" t="n">
        <v>2</v>
      </c>
      <c r="F164" s="20" t="n">
        <v>0.02922</v>
      </c>
      <c r="G164" s="17" t="n">
        <v>48.89</v>
      </c>
      <c r="H164" s="17" t="n">
        <v>53.7</v>
      </c>
      <c r="I164" s="17" t="n">
        <v>94.2</v>
      </c>
      <c r="J164" s="21" t="n">
        <v>62</v>
      </c>
    </row>
    <row r="165">
      <c r="A165" s="18" t="n">
        <v>46275</v>
      </c>
      <c r="B165" s="16" t="inlineStr">
        <is>
          <t>R-04</t>
        </is>
      </c>
      <c r="C165" s="19" t="n">
        <v>2689</v>
      </c>
      <c r="D165" s="19" t="n">
        <v>12</v>
      </c>
      <c r="E165" s="16" t="n">
        <v>2</v>
      </c>
      <c r="F165" s="20" t="n">
        <v>0.00446</v>
      </c>
      <c r="G165" s="17" t="n">
        <v>40.97</v>
      </c>
      <c r="H165" s="17" t="n">
        <v>45.6</v>
      </c>
      <c r="I165" s="17" t="n">
        <v>92.2</v>
      </c>
      <c r="J165" s="21" t="n">
        <v>61</v>
      </c>
    </row>
    <row r="166">
      <c r="A166" s="18" t="n">
        <v>46276</v>
      </c>
      <c r="B166" s="16" t="inlineStr">
        <is>
          <t>R-01</t>
        </is>
      </c>
      <c r="C166" s="19" t="n">
        <v>2715</v>
      </c>
      <c r="D166" s="19" t="n">
        <v>5</v>
      </c>
      <c r="E166" s="16" t="n">
        <v>2</v>
      </c>
      <c r="F166" s="20" t="n">
        <v>0.00184</v>
      </c>
      <c r="G166" s="17" t="n">
        <v>39.93</v>
      </c>
      <c r="H166" s="17" t="n">
        <v>45</v>
      </c>
      <c r="I166" s="17" t="n">
        <v>93.8</v>
      </c>
      <c r="J166" s="21" t="n">
        <v>62.29999999999973</v>
      </c>
    </row>
    <row r="167">
      <c r="A167" s="18" t="n">
        <v>46276</v>
      </c>
      <c r="B167" s="16" t="inlineStr">
        <is>
          <t>R-02</t>
        </is>
      </c>
      <c r="C167" s="19" t="n">
        <v>2912</v>
      </c>
      <c r="D167" s="19" t="n">
        <v>15</v>
      </c>
      <c r="E167" s="16" t="n">
        <v>3</v>
      </c>
      <c r="F167" s="20" t="n">
        <v>0.00515</v>
      </c>
      <c r="G167" s="17" t="n">
        <v>41.87</v>
      </c>
      <c r="H167" s="17" t="n">
        <v>47.2</v>
      </c>
      <c r="I167" s="17" t="n">
        <v>94.40000000000001</v>
      </c>
      <c r="J167" s="21" t="n">
        <v>61</v>
      </c>
    </row>
    <row r="168">
      <c r="A168" s="18" t="n">
        <v>46276</v>
      </c>
      <c r="B168" s="16" t="inlineStr">
        <is>
          <t>R-03</t>
        </is>
      </c>
      <c r="C168" s="19" t="n">
        <v>2703</v>
      </c>
      <c r="D168" s="19" t="n">
        <v>106</v>
      </c>
      <c r="E168" s="16" t="n">
        <v>2</v>
      </c>
      <c r="F168" s="20" t="n">
        <v>0.03922</v>
      </c>
      <c r="G168" s="17" t="n">
        <v>49.08</v>
      </c>
      <c r="H168" s="17" t="n">
        <v>55.2</v>
      </c>
      <c r="I168" s="17" t="n">
        <v>94</v>
      </c>
      <c r="J168" s="21" t="n">
        <v>61.90000000000009</v>
      </c>
    </row>
    <row r="169">
      <c r="A169" s="18" t="n">
        <v>46276</v>
      </c>
      <c r="B169" s="16" t="inlineStr">
        <is>
          <t>R-04</t>
        </is>
      </c>
      <c r="C169" s="19" t="n">
        <v>2505</v>
      </c>
      <c r="D169" s="19" t="n">
        <v>8</v>
      </c>
      <c r="E169" s="16" t="n">
        <v>0</v>
      </c>
      <c r="F169" s="20" t="n">
        <v>0.00319</v>
      </c>
      <c r="G169" s="17" t="n">
        <v>40.87</v>
      </c>
      <c r="H169" s="17" t="n">
        <v>45.9</v>
      </c>
      <c r="I169" s="17" t="n">
        <v>93.2</v>
      </c>
      <c r="J169" s="21" t="n">
        <v>64</v>
      </c>
    </row>
    <row r="170">
      <c r="A170" s="18" t="n">
        <v>46277</v>
      </c>
      <c r="B170" s="16" t="inlineStr">
        <is>
          <t>R-01</t>
        </is>
      </c>
      <c r="C170" s="19" t="n">
        <v>1229</v>
      </c>
      <c r="D170" s="19" t="n">
        <v>6</v>
      </c>
      <c r="E170" s="16" t="n">
        <v>1</v>
      </c>
      <c r="F170" s="20" t="n">
        <v>0.00488</v>
      </c>
      <c r="G170" s="17" t="n">
        <v>39.9</v>
      </c>
      <c r="H170" s="17" t="n">
        <v>44.8</v>
      </c>
      <c r="I170" s="17" t="n">
        <v>90.3</v>
      </c>
      <c r="J170" s="21" t="n">
        <v>63</v>
      </c>
    </row>
    <row r="171">
      <c r="A171" s="18" t="n">
        <v>46277</v>
      </c>
      <c r="B171" s="16" t="inlineStr">
        <is>
          <t>R-02</t>
        </is>
      </c>
      <c r="C171" s="19" t="n">
        <v>1470</v>
      </c>
      <c r="D171" s="19" t="n">
        <v>2</v>
      </c>
      <c r="E171" s="16" t="n">
        <v>2</v>
      </c>
      <c r="F171" s="20" t="n">
        <v>0.00136</v>
      </c>
      <c r="G171" s="17" t="n">
        <v>41.97</v>
      </c>
      <c r="H171" s="17" t="n">
        <v>47</v>
      </c>
      <c r="I171" s="17" t="n">
        <v>95.09999999999999</v>
      </c>
      <c r="J171" s="21" t="n">
        <v>63.54999999999995</v>
      </c>
    </row>
    <row r="172">
      <c r="A172" s="18" t="n">
        <v>46277</v>
      </c>
      <c r="B172" s="16" t="inlineStr">
        <is>
          <t>R-03</t>
        </is>
      </c>
      <c r="C172" s="19" t="n">
        <v>1437</v>
      </c>
      <c r="D172" s="19" t="n">
        <v>47</v>
      </c>
      <c r="E172" s="16" t="n">
        <v>1</v>
      </c>
      <c r="F172" s="20" t="n">
        <v>0.03271</v>
      </c>
      <c r="G172" s="17" t="n">
        <v>49.16</v>
      </c>
      <c r="H172" s="17" t="n">
        <v>53.5</v>
      </c>
      <c r="I172" s="17" t="n">
        <v>95.2</v>
      </c>
      <c r="J172" s="21" t="n">
        <v>62</v>
      </c>
    </row>
    <row r="173">
      <c r="A173" s="18" t="n">
        <v>46277</v>
      </c>
      <c r="B173" s="16" t="inlineStr">
        <is>
          <t>R-04</t>
        </is>
      </c>
      <c r="C173" s="19" t="n">
        <v>1551</v>
      </c>
      <c r="D173" s="19" t="n">
        <v>9</v>
      </c>
      <c r="E173" s="16" t="n">
        <v>1</v>
      </c>
      <c r="F173" s="20" t="n">
        <v>0.0058</v>
      </c>
      <c r="G173" s="17" t="n">
        <v>40.95</v>
      </c>
      <c r="H173" s="17" t="n">
        <v>45.8</v>
      </c>
      <c r="I173" s="17" t="n">
        <v>95.09999999999999</v>
      </c>
      <c r="J173" s="21" t="n">
        <v>62</v>
      </c>
    </row>
    <row r="174">
      <c r="A174" s="18" t="n">
        <v>46278</v>
      </c>
      <c r="B174" s="16" t="inlineStr">
        <is>
          <t>R-01</t>
        </is>
      </c>
      <c r="C174" s="19" t="n">
        <v>1406</v>
      </c>
      <c r="D174" s="19" t="n">
        <v>4</v>
      </c>
      <c r="E174" s="16" t="n">
        <v>1</v>
      </c>
      <c r="F174" s="20" t="n">
        <v>0.00284</v>
      </c>
      <c r="G174" s="17" t="n">
        <v>39.96</v>
      </c>
      <c r="H174" s="17" t="n">
        <v>44.2</v>
      </c>
      <c r="I174" s="17" t="n">
        <v>95.8</v>
      </c>
      <c r="J174" s="21" t="n">
        <v>64</v>
      </c>
    </row>
    <row r="175">
      <c r="A175" s="18" t="n">
        <v>46278</v>
      </c>
      <c r="B175" s="16" t="inlineStr">
        <is>
          <t>R-02</t>
        </is>
      </c>
      <c r="C175" s="19" t="n">
        <v>1385</v>
      </c>
      <c r="D175" s="19" t="n">
        <v>5</v>
      </c>
      <c r="E175" s="16" t="n">
        <v>3</v>
      </c>
      <c r="F175" s="20" t="n">
        <v>0.00361</v>
      </c>
      <c r="G175" s="17" t="n">
        <v>41.95</v>
      </c>
      <c r="H175" s="17" t="n">
        <v>46.5</v>
      </c>
      <c r="I175" s="17" t="n">
        <v>92.90000000000001</v>
      </c>
      <c r="J175" s="21" t="n">
        <v>62</v>
      </c>
    </row>
    <row r="176">
      <c r="A176" s="18" t="n">
        <v>46278</v>
      </c>
      <c r="B176" s="16" t="inlineStr">
        <is>
          <t>R-03</t>
        </is>
      </c>
      <c r="C176" s="19" t="n">
        <v>1415</v>
      </c>
      <c r="D176" s="19" t="n">
        <v>54</v>
      </c>
      <c r="E176" s="16" t="n">
        <v>3</v>
      </c>
      <c r="F176" s="20" t="n">
        <v>0.03816</v>
      </c>
      <c r="G176" s="17" t="n">
        <v>49.33</v>
      </c>
      <c r="H176" s="17" t="n">
        <v>54.3</v>
      </c>
      <c r="I176" s="17" t="n">
        <v>94.5</v>
      </c>
      <c r="J176" s="21" t="n">
        <v>62.29999999999995</v>
      </c>
    </row>
    <row r="177">
      <c r="A177" s="18" t="n">
        <v>46278</v>
      </c>
      <c r="B177" s="16" t="inlineStr">
        <is>
          <t>R-04</t>
        </is>
      </c>
      <c r="C177" s="19" t="n">
        <v>1565</v>
      </c>
      <c r="D177" s="19" t="n">
        <v>7</v>
      </c>
      <c r="E177" s="16" t="n">
        <v>2</v>
      </c>
      <c r="F177" s="20" t="n">
        <v>0.00447</v>
      </c>
      <c r="G177" s="17" t="n">
        <v>40.91</v>
      </c>
      <c r="H177" s="17" t="n">
        <v>46</v>
      </c>
      <c r="I177" s="17" t="n">
        <v>96.3</v>
      </c>
      <c r="J177" s="21" t="n">
        <v>59</v>
      </c>
    </row>
    <row r="178">
      <c r="A178" s="18" t="n">
        <v>46279</v>
      </c>
      <c r="B178" s="16" t="inlineStr">
        <is>
          <t>R-01</t>
        </is>
      </c>
      <c r="C178" s="19" t="n">
        <v>2603</v>
      </c>
      <c r="D178" s="19" t="n">
        <v>11</v>
      </c>
      <c r="E178" s="16" t="n">
        <v>0</v>
      </c>
      <c r="F178" s="20" t="n">
        <v>0.00423</v>
      </c>
      <c r="G178" s="17" t="n">
        <v>39.87</v>
      </c>
      <c r="H178" s="17" t="n">
        <v>44.8</v>
      </c>
      <c r="I178" s="17" t="n">
        <v>92.90000000000001</v>
      </c>
      <c r="J178" s="21" t="n">
        <v>63</v>
      </c>
    </row>
    <row r="179">
      <c r="A179" s="18" t="n">
        <v>46279</v>
      </c>
      <c r="B179" s="16" t="inlineStr">
        <is>
          <t>R-02</t>
        </is>
      </c>
      <c r="C179" s="19" t="n">
        <v>2464</v>
      </c>
      <c r="D179" s="19" t="n">
        <v>9</v>
      </c>
      <c r="E179" s="16" t="n">
        <v>3</v>
      </c>
      <c r="F179" s="20" t="n">
        <v>0.00365</v>
      </c>
      <c r="G179" s="17" t="n">
        <v>41.88</v>
      </c>
      <c r="H179" s="17" t="n">
        <v>46.6</v>
      </c>
      <c r="I179" s="17" t="n">
        <v>95</v>
      </c>
      <c r="J179" s="21" t="n">
        <v>64</v>
      </c>
    </row>
    <row r="180">
      <c r="A180" s="18" t="n">
        <v>46279</v>
      </c>
      <c r="B180" s="16" t="inlineStr">
        <is>
          <t>R-03</t>
        </is>
      </c>
      <c r="C180" s="19" t="n">
        <v>2605</v>
      </c>
      <c r="D180" s="19" t="n">
        <v>101</v>
      </c>
      <c r="E180" s="16" t="n">
        <v>1</v>
      </c>
      <c r="F180" s="20" t="n">
        <v>0.03877</v>
      </c>
      <c r="G180" s="17" t="n">
        <v>49.49</v>
      </c>
      <c r="H180" s="17" t="n">
        <v>53.9</v>
      </c>
      <c r="I180" s="17" t="n">
        <v>92.40000000000001</v>
      </c>
      <c r="J180" s="21" t="n">
        <v>61</v>
      </c>
    </row>
    <row r="181">
      <c r="A181" s="18" t="n">
        <v>46279</v>
      </c>
      <c r="B181" s="16" t="inlineStr">
        <is>
          <t>R-04</t>
        </is>
      </c>
      <c r="C181" s="19" t="n">
        <v>2489</v>
      </c>
      <c r="D181" s="19" t="n">
        <v>11</v>
      </c>
      <c r="E181" s="16" t="n">
        <v>1</v>
      </c>
      <c r="F181" s="20" t="n">
        <v>0.00442</v>
      </c>
      <c r="G181" s="17" t="n">
        <v>40.89</v>
      </c>
      <c r="H181" s="17" t="n">
        <v>45.4</v>
      </c>
      <c r="I181" s="17" t="n">
        <v>92.5</v>
      </c>
      <c r="J181" s="21" t="n">
        <v>63</v>
      </c>
    </row>
    <row r="182">
      <c r="A182" s="18" t="n">
        <v>46280</v>
      </c>
      <c r="B182" s="16" t="inlineStr">
        <is>
          <t>R-01</t>
        </is>
      </c>
      <c r="C182" s="19" t="n">
        <v>2614</v>
      </c>
      <c r="D182" s="19" t="n">
        <v>13</v>
      </c>
      <c r="E182" s="16" t="n">
        <v>3</v>
      </c>
      <c r="F182" s="20" t="n">
        <v>0.00497</v>
      </c>
      <c r="G182" s="17" t="n">
        <v>39.89</v>
      </c>
      <c r="H182" s="17" t="n">
        <v>44.2</v>
      </c>
      <c r="I182" s="17" t="n">
        <v>95.40000000000001</v>
      </c>
      <c r="J182" s="21" t="n">
        <v>64</v>
      </c>
    </row>
    <row r="183">
      <c r="A183" s="18" t="n">
        <v>46280</v>
      </c>
      <c r="B183" s="16" t="inlineStr">
        <is>
          <t>R-02</t>
        </is>
      </c>
      <c r="C183" s="19" t="n">
        <v>2949</v>
      </c>
      <c r="D183" s="19" t="n">
        <v>12</v>
      </c>
      <c r="E183" s="16" t="n">
        <v>4</v>
      </c>
      <c r="F183" s="20" t="n">
        <v>0.00407</v>
      </c>
      <c r="G183" s="17" t="n">
        <v>41.94</v>
      </c>
      <c r="H183" s="17" t="n">
        <v>46.5</v>
      </c>
      <c r="I183" s="17" t="n">
        <v>93.40000000000001</v>
      </c>
      <c r="J183" s="21" t="n">
        <v>62</v>
      </c>
    </row>
    <row r="184">
      <c r="A184" s="18" t="n">
        <v>46280</v>
      </c>
      <c r="B184" s="16" t="inlineStr">
        <is>
          <t>R-03</t>
        </is>
      </c>
      <c r="C184" s="19" t="n">
        <v>2588</v>
      </c>
      <c r="D184" s="19" t="n">
        <v>86</v>
      </c>
      <c r="E184" s="16" t="n">
        <v>1</v>
      </c>
      <c r="F184" s="20" t="n">
        <v>0.03323</v>
      </c>
      <c r="G184" s="17" t="n">
        <v>49.57</v>
      </c>
      <c r="H184" s="17" t="n">
        <v>55.2</v>
      </c>
      <c r="I184" s="17" t="n">
        <v>95</v>
      </c>
      <c r="J184" s="21" t="n">
        <v>60</v>
      </c>
    </row>
    <row r="185">
      <c r="A185" s="18" t="n">
        <v>46280</v>
      </c>
      <c r="B185" s="16" t="inlineStr">
        <is>
          <t>R-04</t>
        </is>
      </c>
      <c r="C185" s="19" t="n">
        <v>2874</v>
      </c>
      <c r="D185" s="19" t="n">
        <v>10</v>
      </c>
      <c r="E185" s="16" t="n">
        <v>3</v>
      </c>
      <c r="F185" s="20" t="n">
        <v>0.00348</v>
      </c>
      <c r="G185" s="17" t="n">
        <v>40.9</v>
      </c>
      <c r="H185" s="17" t="n">
        <v>45.6</v>
      </c>
      <c r="I185" s="17" t="n">
        <v>92</v>
      </c>
      <c r="J185" s="21" t="n">
        <v>62</v>
      </c>
    </row>
    <row r="186">
      <c r="A186" s="18" t="n">
        <v>46281</v>
      </c>
      <c r="B186" s="16" t="inlineStr">
        <is>
          <t>R-01</t>
        </is>
      </c>
      <c r="C186" s="19" t="n">
        <v>2506</v>
      </c>
      <c r="D186" s="19" t="n">
        <v>15</v>
      </c>
      <c r="E186" s="16" t="n">
        <v>1</v>
      </c>
      <c r="F186" s="20" t="n">
        <v>0.00599</v>
      </c>
      <c r="G186" s="17" t="n">
        <v>39.88</v>
      </c>
      <c r="H186" s="17" t="n">
        <v>44.5</v>
      </c>
      <c r="I186" s="17" t="n">
        <v>92.90000000000001</v>
      </c>
      <c r="J186" s="21" t="n">
        <v>63</v>
      </c>
    </row>
    <row r="187">
      <c r="A187" s="18" t="n">
        <v>46281</v>
      </c>
      <c r="B187" s="16" t="inlineStr">
        <is>
          <t>R-02</t>
        </is>
      </c>
      <c r="C187" s="19" t="n">
        <v>2895</v>
      </c>
      <c r="D187" s="19" t="n">
        <v>10</v>
      </c>
      <c r="E187" s="16" t="n">
        <v>0</v>
      </c>
      <c r="F187" s="20" t="n">
        <v>0.00345</v>
      </c>
      <c r="G187" s="17" t="n">
        <v>41.9</v>
      </c>
      <c r="H187" s="17" t="n">
        <v>46.9</v>
      </c>
      <c r="I187" s="17" t="n">
        <v>91.5</v>
      </c>
      <c r="J187" s="21" t="n">
        <v>62</v>
      </c>
    </row>
    <row r="188">
      <c r="A188" s="18" t="n">
        <v>46281</v>
      </c>
      <c r="B188" s="16" t="inlineStr">
        <is>
          <t>R-03</t>
        </is>
      </c>
      <c r="C188" s="19" t="n">
        <v>2733</v>
      </c>
      <c r="D188" s="19" t="n">
        <v>101</v>
      </c>
      <c r="E188" s="16" t="n">
        <v>2</v>
      </c>
      <c r="F188" s="20" t="n">
        <v>0.03696</v>
      </c>
      <c r="G188" s="17" t="n">
        <v>49.76</v>
      </c>
      <c r="H188" s="17" t="n">
        <v>54.1</v>
      </c>
      <c r="I188" s="17" t="n">
        <v>93.3</v>
      </c>
      <c r="J188" s="21" t="n">
        <v>65</v>
      </c>
    </row>
    <row r="189">
      <c r="A189" s="18" t="n">
        <v>46281</v>
      </c>
      <c r="B189" s="16" t="inlineStr">
        <is>
          <t>R-04</t>
        </is>
      </c>
      <c r="C189" s="19" t="n">
        <v>2448</v>
      </c>
      <c r="D189" s="19" t="n">
        <v>12</v>
      </c>
      <c r="E189" s="16" t="n">
        <v>2</v>
      </c>
      <c r="F189" s="20" t="n">
        <v>0.0049</v>
      </c>
      <c r="G189" s="17" t="n">
        <v>40.92</v>
      </c>
      <c r="H189" s="17" t="n">
        <v>45.3</v>
      </c>
      <c r="I189" s="17" t="n">
        <v>94.59999999999999</v>
      </c>
      <c r="J189" s="21" t="n">
        <v>61</v>
      </c>
    </row>
    <row r="190">
      <c r="A190" s="18" t="n">
        <v>46282</v>
      </c>
      <c r="B190" s="16" t="inlineStr">
        <is>
          <t>R-01</t>
        </is>
      </c>
      <c r="C190" s="19" t="n">
        <v>2881</v>
      </c>
      <c r="D190" s="19" t="n">
        <v>8</v>
      </c>
      <c r="E190" s="16" t="n">
        <v>2</v>
      </c>
      <c r="F190" s="20" t="n">
        <v>0.00278</v>
      </c>
      <c r="G190" s="17" t="n">
        <v>39.84</v>
      </c>
      <c r="H190" s="17" t="n">
        <v>44.7</v>
      </c>
      <c r="I190" s="17" t="n">
        <v>94.8</v>
      </c>
      <c r="J190" s="21" t="n">
        <v>62</v>
      </c>
    </row>
    <row r="191">
      <c r="A191" s="18" t="n">
        <v>46282</v>
      </c>
      <c r="B191" s="16" t="inlineStr">
        <is>
          <t>R-02</t>
        </is>
      </c>
      <c r="C191" s="19" t="n">
        <v>2487</v>
      </c>
      <c r="D191" s="19" t="n">
        <v>9</v>
      </c>
      <c r="E191" s="16" t="n">
        <v>4</v>
      </c>
      <c r="F191" s="20" t="n">
        <v>0.00362</v>
      </c>
      <c r="G191" s="17" t="n">
        <v>41.83</v>
      </c>
      <c r="H191" s="17" t="n">
        <v>46.9</v>
      </c>
      <c r="I191" s="17" t="n">
        <v>95.3</v>
      </c>
      <c r="J191" s="21" t="n">
        <v>62</v>
      </c>
    </row>
    <row r="192">
      <c r="A192" s="18" t="n">
        <v>46282</v>
      </c>
      <c r="B192" s="16" t="inlineStr">
        <is>
          <t>R-03</t>
        </is>
      </c>
      <c r="C192" s="19" t="n">
        <v>2366</v>
      </c>
      <c r="D192" s="19" t="n">
        <v>92</v>
      </c>
      <c r="E192" s="16" t="n">
        <v>0</v>
      </c>
      <c r="F192" s="20" t="n">
        <v>0.03888</v>
      </c>
      <c r="G192" s="17" t="n">
        <v>49.9</v>
      </c>
      <c r="H192" s="17" t="n">
        <v>54.5</v>
      </c>
      <c r="I192" s="17" t="n">
        <v>94.90000000000001</v>
      </c>
      <c r="J192" s="21" t="n">
        <v>63</v>
      </c>
    </row>
    <row r="193">
      <c r="A193" s="18" t="n">
        <v>46282</v>
      </c>
      <c r="B193" s="16" t="inlineStr">
        <is>
          <t>R-04</t>
        </is>
      </c>
      <c r="C193" s="19" t="n">
        <v>2450</v>
      </c>
      <c r="D193" s="19" t="n">
        <v>11</v>
      </c>
      <c r="E193" s="16" t="n">
        <v>4</v>
      </c>
      <c r="F193" s="20" t="n">
        <v>0.00449</v>
      </c>
      <c r="G193" s="17" t="n">
        <v>40.91</v>
      </c>
      <c r="H193" s="17" t="n">
        <v>45.3</v>
      </c>
      <c r="I193" s="17" t="n">
        <v>94.5</v>
      </c>
      <c r="J193" s="21" t="n">
        <v>63</v>
      </c>
    </row>
    <row r="194">
      <c r="A194" s="18" t="n">
        <v>46283</v>
      </c>
      <c r="B194" s="16" t="inlineStr">
        <is>
          <t>R-01</t>
        </is>
      </c>
      <c r="C194" s="19" t="n">
        <v>2571</v>
      </c>
      <c r="D194" s="19" t="n">
        <v>13</v>
      </c>
      <c r="E194" s="16" t="n">
        <v>3</v>
      </c>
      <c r="F194" s="20" t="n">
        <v>0.00506</v>
      </c>
      <c r="G194" s="17" t="n">
        <v>39.88</v>
      </c>
      <c r="H194" s="17" t="n">
        <v>44.6</v>
      </c>
      <c r="I194" s="17" t="n">
        <v>95.09999999999999</v>
      </c>
      <c r="J194" s="21" t="n">
        <v>63</v>
      </c>
    </row>
    <row r="195">
      <c r="A195" s="18" t="n">
        <v>46283</v>
      </c>
      <c r="B195" s="16" t="inlineStr">
        <is>
          <t>R-02</t>
        </is>
      </c>
      <c r="C195" s="19" t="n">
        <v>2500</v>
      </c>
      <c r="D195" s="19" t="n">
        <v>17</v>
      </c>
      <c r="E195" s="16" t="n">
        <v>2</v>
      </c>
      <c r="F195" s="20" t="n">
        <v>0.0068</v>
      </c>
      <c r="G195" s="17" t="n">
        <v>41.84</v>
      </c>
      <c r="H195" s="17" t="n">
        <v>46.8</v>
      </c>
      <c r="I195" s="17" t="n">
        <v>93</v>
      </c>
      <c r="J195" s="21" t="n">
        <v>62</v>
      </c>
    </row>
    <row r="196">
      <c r="A196" s="18" t="n">
        <v>46283</v>
      </c>
      <c r="B196" s="16" t="inlineStr">
        <is>
          <t>R-03</t>
        </is>
      </c>
      <c r="C196" s="19" t="n">
        <v>2483</v>
      </c>
      <c r="D196" s="19" t="n">
        <v>94</v>
      </c>
      <c r="E196" s="16" t="n">
        <v>2</v>
      </c>
      <c r="F196" s="20" t="n">
        <v>0.03786</v>
      </c>
      <c r="G196" s="17" t="n">
        <v>50.12</v>
      </c>
      <c r="H196" s="17" t="n">
        <v>55.5</v>
      </c>
      <c r="I196" s="17" t="n">
        <v>93.8</v>
      </c>
      <c r="J196" s="21" t="n">
        <v>62</v>
      </c>
    </row>
    <row r="197">
      <c r="A197" s="18" t="n">
        <v>46283</v>
      </c>
      <c r="B197" s="16" t="inlineStr">
        <is>
          <t>R-04</t>
        </is>
      </c>
      <c r="C197" s="19" t="n">
        <v>2650</v>
      </c>
      <c r="D197" s="19" t="n">
        <v>17</v>
      </c>
      <c r="E197" s="16" t="n">
        <v>1</v>
      </c>
      <c r="F197" s="20" t="n">
        <v>0.00642</v>
      </c>
      <c r="G197" s="17" t="n">
        <v>40.88</v>
      </c>
      <c r="H197" s="17" t="n">
        <v>45.7</v>
      </c>
      <c r="I197" s="17" t="n">
        <v>93.8</v>
      </c>
      <c r="J197" s="21" t="n">
        <v>61</v>
      </c>
    </row>
    <row r="198">
      <c r="A198" s="18" t="n">
        <v>46284</v>
      </c>
      <c r="B198" s="16" t="inlineStr">
        <is>
          <t>R-01</t>
        </is>
      </c>
      <c r="C198" s="19" t="n">
        <v>1200</v>
      </c>
      <c r="D198" s="19" t="n">
        <v>8</v>
      </c>
      <c r="E198" s="16" t="n">
        <v>0</v>
      </c>
      <c r="F198" s="20" t="n">
        <v>0.006670000000000001</v>
      </c>
      <c r="G198" s="17" t="n">
        <v>39.88</v>
      </c>
      <c r="H198" s="17" t="n">
        <v>44.6</v>
      </c>
      <c r="I198" s="17" t="n">
        <v>94.09999999999999</v>
      </c>
      <c r="J198" s="21" t="n">
        <v>61</v>
      </c>
    </row>
    <row r="199">
      <c r="A199" s="18" t="n">
        <v>46284</v>
      </c>
      <c r="B199" s="16" t="inlineStr">
        <is>
          <t>R-02</t>
        </is>
      </c>
      <c r="C199" s="19" t="n">
        <v>1240</v>
      </c>
      <c r="D199" s="19" t="n">
        <v>5</v>
      </c>
      <c r="E199" s="16" t="n">
        <v>3</v>
      </c>
      <c r="F199" s="20" t="n">
        <v>0.004030000000000001</v>
      </c>
      <c r="G199" s="17" t="n">
        <v>41.94</v>
      </c>
      <c r="H199" s="17" t="n">
        <v>46.4</v>
      </c>
      <c r="I199" s="17" t="n">
        <v>93.5</v>
      </c>
      <c r="J199" s="21" t="n">
        <v>62</v>
      </c>
    </row>
    <row r="200">
      <c r="A200" s="18" t="n">
        <v>46284</v>
      </c>
      <c r="B200" s="16" t="inlineStr">
        <is>
          <t>R-03</t>
        </is>
      </c>
      <c r="C200" s="19" t="n">
        <v>1423</v>
      </c>
      <c r="D200" s="19" t="n">
        <v>50</v>
      </c>
      <c r="E200" s="16" t="n">
        <v>0</v>
      </c>
      <c r="F200" s="20" t="n">
        <v>0.03514</v>
      </c>
      <c r="G200" s="17" t="n">
        <v>50.31</v>
      </c>
      <c r="H200" s="17" t="n">
        <v>56.1</v>
      </c>
      <c r="I200" s="17" t="n">
        <v>95</v>
      </c>
      <c r="J200" s="21" t="n">
        <v>63</v>
      </c>
    </row>
    <row r="201">
      <c r="A201" s="18" t="n">
        <v>46284</v>
      </c>
      <c r="B201" s="16" t="inlineStr">
        <is>
          <t>R-04</t>
        </is>
      </c>
      <c r="C201" s="19" t="n">
        <v>1110</v>
      </c>
      <c r="D201" s="19" t="n">
        <v>4</v>
      </c>
      <c r="E201" s="16" t="n">
        <v>2</v>
      </c>
      <c r="F201" s="20" t="n">
        <v>0.0036</v>
      </c>
      <c r="G201" s="17" t="n">
        <v>40.9</v>
      </c>
      <c r="H201" s="17" t="n">
        <v>45.4</v>
      </c>
      <c r="I201" s="17" t="n">
        <v>94.59999999999999</v>
      </c>
      <c r="J201" s="21" t="n">
        <v>63</v>
      </c>
    </row>
    <row r="202">
      <c r="A202" s="18" t="n">
        <v>46285</v>
      </c>
      <c r="B202" s="16" t="inlineStr">
        <is>
          <t>R-01</t>
        </is>
      </c>
      <c r="C202" s="19" t="n">
        <v>1238</v>
      </c>
      <c r="D202" s="19" t="n">
        <v>6</v>
      </c>
      <c r="E202" s="16" t="n">
        <v>1</v>
      </c>
      <c r="F202" s="20" t="n">
        <v>0.00485</v>
      </c>
      <c r="G202" s="17" t="n">
        <v>39.92</v>
      </c>
      <c r="H202" s="17" t="n">
        <v>44.3</v>
      </c>
      <c r="I202" s="17" t="n">
        <v>95.09999999999999</v>
      </c>
      <c r="J202" s="21" t="n">
        <v>64.14999999999986</v>
      </c>
    </row>
    <row r="203">
      <c r="A203" s="18" t="n">
        <v>46285</v>
      </c>
      <c r="B203" s="16" t="inlineStr">
        <is>
          <t>R-02</t>
        </is>
      </c>
      <c r="C203" s="19" t="n">
        <v>1580</v>
      </c>
      <c r="D203" s="19" t="n">
        <v>6</v>
      </c>
      <c r="E203" s="16" t="n">
        <v>1</v>
      </c>
      <c r="F203" s="20" t="n">
        <v>0.0038</v>
      </c>
      <c r="G203" s="17" t="n">
        <v>41.91</v>
      </c>
      <c r="H203" s="17" t="n">
        <v>46.5</v>
      </c>
      <c r="I203" s="17" t="n">
        <v>95.09999999999999</v>
      </c>
      <c r="J203" s="21" t="n">
        <v>66</v>
      </c>
    </row>
    <row r="204">
      <c r="A204" s="18" t="n">
        <v>46285</v>
      </c>
      <c r="B204" s="16" t="inlineStr">
        <is>
          <t>R-03</t>
        </is>
      </c>
      <c r="C204" s="19" t="n">
        <v>1508</v>
      </c>
      <c r="D204" s="19" t="n">
        <v>72</v>
      </c>
      <c r="E204" s="16" t="n">
        <v>3</v>
      </c>
      <c r="F204" s="20" t="n">
        <v>0.04775</v>
      </c>
      <c r="G204" s="17" t="n">
        <v>50.37</v>
      </c>
      <c r="H204" s="17" t="n">
        <v>54.4</v>
      </c>
      <c r="I204" s="17" t="n">
        <v>91.40000000000001</v>
      </c>
      <c r="J204" s="21" t="n">
        <v>62</v>
      </c>
    </row>
    <row r="205">
      <c r="A205" s="18" t="n">
        <v>46285</v>
      </c>
      <c r="B205" s="16" t="inlineStr">
        <is>
          <t>R-04</t>
        </is>
      </c>
      <c r="C205" s="19" t="n">
        <v>966</v>
      </c>
      <c r="D205" s="19" t="n">
        <v>2</v>
      </c>
      <c r="E205" s="16" t="n">
        <v>1</v>
      </c>
      <c r="F205" s="20" t="n">
        <v>0.00207</v>
      </c>
      <c r="G205" s="17" t="n">
        <v>40.94</v>
      </c>
      <c r="H205" s="17" t="n">
        <v>45.2</v>
      </c>
      <c r="I205" s="17" t="n">
        <v>95.3</v>
      </c>
      <c r="J205" s="21" t="n">
        <v>61</v>
      </c>
    </row>
    <row r="206">
      <c r="A206" s="18" t="n">
        <v>46286</v>
      </c>
      <c r="B206" s="16" t="inlineStr">
        <is>
          <t>R-01</t>
        </is>
      </c>
      <c r="C206" s="19" t="n">
        <v>2872</v>
      </c>
      <c r="D206" s="19" t="n">
        <v>13</v>
      </c>
      <c r="E206" s="16" t="n">
        <v>1</v>
      </c>
      <c r="F206" s="20" t="n">
        <v>0.00453</v>
      </c>
      <c r="G206" s="17" t="n">
        <v>39.94</v>
      </c>
      <c r="H206" s="17" t="n">
        <v>45.1</v>
      </c>
      <c r="I206" s="17" t="n">
        <v>94.59999999999999</v>
      </c>
      <c r="J206" s="21" t="n">
        <v>62</v>
      </c>
    </row>
    <row r="207">
      <c r="A207" s="18" t="n">
        <v>46286</v>
      </c>
      <c r="B207" s="16" t="inlineStr">
        <is>
          <t>R-02</t>
        </is>
      </c>
      <c r="C207" s="19" t="n">
        <v>2579</v>
      </c>
      <c r="D207" s="19" t="n">
        <v>11</v>
      </c>
      <c r="E207" s="16" t="n">
        <v>4</v>
      </c>
      <c r="F207" s="20" t="n">
        <v>0.004269999999999999</v>
      </c>
      <c r="G207" s="17" t="n">
        <v>41.91</v>
      </c>
      <c r="H207" s="17" t="n">
        <v>47.4</v>
      </c>
      <c r="I207" s="17" t="n">
        <v>91.7</v>
      </c>
      <c r="J207" s="21" t="n">
        <v>62</v>
      </c>
    </row>
    <row r="208">
      <c r="A208" s="18" t="n">
        <v>46286</v>
      </c>
      <c r="B208" s="16" t="inlineStr">
        <is>
          <t>R-03</t>
        </is>
      </c>
      <c r="C208" s="19" t="n">
        <v>2579</v>
      </c>
      <c r="D208" s="19" t="n">
        <v>121</v>
      </c>
      <c r="E208" s="16" t="n">
        <v>4</v>
      </c>
      <c r="F208" s="20" t="n">
        <v>0.04692</v>
      </c>
      <c r="G208" s="17" t="n">
        <v>50.52</v>
      </c>
      <c r="H208" s="17" t="n">
        <v>56.6</v>
      </c>
      <c r="I208" s="17" t="n">
        <v>93.7</v>
      </c>
      <c r="J208" s="21" t="n">
        <v>61</v>
      </c>
    </row>
    <row r="209">
      <c r="A209" s="18" t="n">
        <v>46286</v>
      </c>
      <c r="B209" s="16" t="inlineStr">
        <is>
          <t>R-04</t>
        </is>
      </c>
      <c r="C209" s="19" t="n">
        <v>2623</v>
      </c>
      <c r="D209" s="19" t="n">
        <v>13</v>
      </c>
      <c r="E209" s="16" t="n">
        <v>5</v>
      </c>
      <c r="F209" s="20" t="n">
        <v>0.00496</v>
      </c>
      <c r="G209" s="17" t="n">
        <v>40.92</v>
      </c>
      <c r="H209" s="17" t="n">
        <v>45.5</v>
      </c>
      <c r="I209" s="17" t="n">
        <v>95</v>
      </c>
      <c r="J209" s="21" t="n">
        <v>61.90000000000009</v>
      </c>
    </row>
    <row r="210">
      <c r="A210" s="18" t="n">
        <v>46287</v>
      </c>
      <c r="B210" s="16" t="inlineStr">
        <is>
          <t>R-01</t>
        </is>
      </c>
      <c r="C210" s="19" t="n">
        <v>2361</v>
      </c>
      <c r="D210" s="19" t="n">
        <v>8</v>
      </c>
      <c r="E210" s="16" t="n">
        <v>4</v>
      </c>
      <c r="F210" s="20" t="n">
        <v>0.00339</v>
      </c>
      <c r="G210" s="17" t="n">
        <v>39.93</v>
      </c>
      <c r="H210" s="17" t="n">
        <v>44.1</v>
      </c>
      <c r="I210" s="17" t="n">
        <v>94.3</v>
      </c>
      <c r="J210" s="21" t="n">
        <v>63</v>
      </c>
    </row>
    <row r="211">
      <c r="A211" s="18" t="n">
        <v>46287</v>
      </c>
      <c r="B211" s="16" t="inlineStr">
        <is>
          <t>R-02</t>
        </is>
      </c>
      <c r="C211" s="19" t="n">
        <v>2586</v>
      </c>
      <c r="D211" s="19" t="n">
        <v>9</v>
      </c>
      <c r="E211" s="16" t="n">
        <v>1</v>
      </c>
      <c r="F211" s="20" t="n">
        <v>0.00348</v>
      </c>
      <c r="G211" s="17" t="n">
        <v>41.9</v>
      </c>
      <c r="H211" s="17" t="n">
        <v>47.5</v>
      </c>
      <c r="I211" s="17" t="n">
        <v>94.2</v>
      </c>
      <c r="J211" s="21" t="n">
        <v>60</v>
      </c>
    </row>
    <row r="212">
      <c r="A212" s="18" t="n">
        <v>46287</v>
      </c>
      <c r="B212" s="16" t="inlineStr">
        <is>
          <t>R-03</t>
        </is>
      </c>
      <c r="C212" s="19" t="n">
        <v>2646</v>
      </c>
      <c r="D212" s="19" t="n">
        <v>126</v>
      </c>
      <c r="E212" s="16" t="n">
        <v>7</v>
      </c>
      <c r="F212" s="20" t="n">
        <v>0.04762</v>
      </c>
      <c r="G212" s="17" t="n">
        <v>50.74</v>
      </c>
      <c r="H212" s="17" t="n">
        <v>55.9</v>
      </c>
      <c r="I212" s="17" t="n">
        <v>91.40000000000001</v>
      </c>
      <c r="J212" s="21" t="n">
        <v>63</v>
      </c>
    </row>
    <row r="213">
      <c r="A213" s="18" t="n">
        <v>46287</v>
      </c>
      <c r="B213" s="16" t="inlineStr">
        <is>
          <t>R-04</t>
        </is>
      </c>
      <c r="C213" s="19" t="n">
        <v>2612</v>
      </c>
      <c r="D213" s="19" t="n">
        <v>10</v>
      </c>
      <c r="E213" s="16" t="n">
        <v>0</v>
      </c>
      <c r="F213" s="20" t="n">
        <v>0.00383</v>
      </c>
      <c r="G213" s="17" t="n">
        <v>40.88</v>
      </c>
      <c r="H213" s="17" t="n">
        <v>45.5</v>
      </c>
      <c r="I213" s="17" t="n">
        <v>94.09999999999999</v>
      </c>
      <c r="J213" s="21" t="n">
        <v>63</v>
      </c>
    </row>
    <row r="214">
      <c r="A214" s="18" t="n">
        <v>46288</v>
      </c>
      <c r="B214" s="16" t="inlineStr">
        <is>
          <t>R-01</t>
        </is>
      </c>
      <c r="C214" s="19" t="n">
        <v>2714</v>
      </c>
      <c r="D214" s="19" t="n">
        <v>6</v>
      </c>
      <c r="E214" s="16" t="n">
        <v>4</v>
      </c>
      <c r="F214" s="20" t="n">
        <v>0.00221</v>
      </c>
      <c r="G214" s="17" t="n">
        <v>39.93</v>
      </c>
      <c r="H214" s="17" t="n">
        <v>44.8</v>
      </c>
      <c r="I214" s="17" t="n">
        <v>94.3</v>
      </c>
      <c r="J214" s="21" t="n">
        <v>61</v>
      </c>
    </row>
    <row r="215">
      <c r="A215" s="18" t="n">
        <v>46288</v>
      </c>
      <c r="B215" s="16" t="inlineStr">
        <is>
          <t>R-02</t>
        </is>
      </c>
      <c r="C215" s="19" t="n">
        <v>2558</v>
      </c>
      <c r="D215" s="19" t="n">
        <v>14</v>
      </c>
      <c r="E215" s="16" t="n">
        <v>2</v>
      </c>
      <c r="F215" s="20" t="n">
        <v>0.00547</v>
      </c>
      <c r="G215" s="17" t="n">
        <v>41.9</v>
      </c>
      <c r="H215" s="17" t="n">
        <v>46.7</v>
      </c>
      <c r="I215" s="17" t="n">
        <v>95.8</v>
      </c>
      <c r="J215" s="21" t="n">
        <v>63</v>
      </c>
    </row>
    <row r="216">
      <c r="A216" s="18" t="n">
        <v>46288</v>
      </c>
      <c r="B216" s="16" t="inlineStr">
        <is>
          <t>R-03</t>
        </is>
      </c>
      <c r="C216" s="19" t="n">
        <v>2770</v>
      </c>
      <c r="D216" s="19" t="n">
        <v>113</v>
      </c>
      <c r="E216" s="16" t="n">
        <v>1</v>
      </c>
      <c r="F216" s="20" t="n">
        <v>0.04079</v>
      </c>
      <c r="G216" s="17" t="n">
        <v>50.81</v>
      </c>
      <c r="H216" s="17" t="n">
        <v>56.1</v>
      </c>
      <c r="I216" s="17" t="n">
        <v>92</v>
      </c>
      <c r="J216" s="21" t="n">
        <v>62</v>
      </c>
    </row>
    <row r="217">
      <c r="A217" s="18" t="n">
        <v>46288</v>
      </c>
      <c r="B217" s="16" t="inlineStr">
        <is>
          <t>R-04</t>
        </is>
      </c>
      <c r="C217" s="19" t="n">
        <v>2413</v>
      </c>
      <c r="D217" s="19" t="n">
        <v>13</v>
      </c>
      <c r="E217" s="16" t="n">
        <v>0</v>
      </c>
      <c r="F217" s="20" t="n">
        <v>0.005390000000000001</v>
      </c>
      <c r="G217" s="17" t="n">
        <v>40.95</v>
      </c>
      <c r="H217" s="17" t="n">
        <v>45.8</v>
      </c>
      <c r="I217" s="17" t="n">
        <v>95.3</v>
      </c>
      <c r="J217" s="21" t="n">
        <v>61</v>
      </c>
    </row>
    <row r="218">
      <c r="A218" s="18" t="n">
        <v>46289</v>
      </c>
      <c r="B218" s="16" t="inlineStr">
        <is>
          <t>R-01</t>
        </is>
      </c>
      <c r="C218" s="19" t="n">
        <v>2301</v>
      </c>
      <c r="D218" s="19" t="n">
        <v>11</v>
      </c>
      <c r="E218" s="16" t="n">
        <v>4</v>
      </c>
      <c r="F218" s="20" t="n">
        <v>0.00478</v>
      </c>
      <c r="G218" s="17" t="n">
        <v>39.88</v>
      </c>
      <c r="H218" s="17" t="n">
        <v>44.2</v>
      </c>
      <c r="I218" s="17" t="n">
        <v>96.5</v>
      </c>
      <c r="J218" s="21" t="n">
        <v>61</v>
      </c>
    </row>
    <row r="219">
      <c r="A219" s="18" t="n">
        <v>46289</v>
      </c>
      <c r="B219" s="16" t="inlineStr">
        <is>
          <t>R-02</t>
        </is>
      </c>
      <c r="C219" s="19" t="n">
        <v>2431</v>
      </c>
      <c r="D219" s="19" t="n">
        <v>13</v>
      </c>
      <c r="E219" s="16" t="n">
        <v>2</v>
      </c>
      <c r="F219" s="20" t="n">
        <v>0.005350000000000001</v>
      </c>
      <c r="G219" s="17" t="n">
        <v>41.88</v>
      </c>
      <c r="H219" s="17" t="n">
        <v>46.9</v>
      </c>
      <c r="I219" s="17" t="n">
        <v>93.3</v>
      </c>
      <c r="J219" s="21" t="n">
        <v>60</v>
      </c>
    </row>
    <row r="220">
      <c r="A220" s="18" t="n">
        <v>46289</v>
      </c>
      <c r="B220" s="16" t="inlineStr">
        <is>
          <t>R-03</t>
        </is>
      </c>
      <c r="C220" s="19" t="n">
        <v>2304</v>
      </c>
      <c r="D220" s="19" t="n">
        <v>110</v>
      </c>
      <c r="E220" s="16" t="n">
        <v>1</v>
      </c>
      <c r="F220" s="20" t="n">
        <v>0.04774</v>
      </c>
      <c r="G220" s="17" t="n">
        <v>50.96</v>
      </c>
      <c r="H220" s="17" t="n">
        <v>56.1</v>
      </c>
      <c r="I220" s="17" t="n">
        <v>92.90000000000001</v>
      </c>
      <c r="J220" s="21" t="n">
        <v>61</v>
      </c>
    </row>
    <row r="221">
      <c r="A221" s="18" t="n">
        <v>46289</v>
      </c>
      <c r="B221" s="16" t="inlineStr">
        <is>
          <t>R-04</t>
        </is>
      </c>
      <c r="C221" s="19" t="n">
        <v>2498</v>
      </c>
      <c r="D221" s="19" t="n">
        <v>9</v>
      </c>
      <c r="E221" s="16" t="n">
        <v>3</v>
      </c>
      <c r="F221" s="20" t="n">
        <v>0.0036</v>
      </c>
      <c r="G221" s="17" t="n">
        <v>40.88</v>
      </c>
      <c r="H221" s="17" t="n">
        <v>45.5</v>
      </c>
      <c r="I221" s="17" t="n">
        <v>92.5</v>
      </c>
      <c r="J221" s="21" t="n">
        <v>62</v>
      </c>
    </row>
    <row r="222">
      <c r="A222" s="18" t="n">
        <v>46290</v>
      </c>
      <c r="B222" s="16" t="inlineStr">
        <is>
          <t>R-01</t>
        </is>
      </c>
      <c r="C222" s="19" t="n">
        <v>2696</v>
      </c>
      <c r="D222" s="19" t="n">
        <v>12</v>
      </c>
      <c r="E222" s="16" t="n">
        <v>3</v>
      </c>
      <c r="F222" s="20" t="n">
        <v>0.00445</v>
      </c>
      <c r="G222" s="17" t="n">
        <v>39.92</v>
      </c>
      <c r="H222" s="17" t="n">
        <v>44.9</v>
      </c>
      <c r="I222" s="17" t="n">
        <v>93.2</v>
      </c>
      <c r="J222" s="21" t="n">
        <v>62</v>
      </c>
    </row>
    <row r="223">
      <c r="A223" s="18" t="n">
        <v>46290</v>
      </c>
      <c r="B223" s="16" t="inlineStr">
        <is>
          <t>R-02</t>
        </is>
      </c>
      <c r="C223" s="19" t="n">
        <v>2933</v>
      </c>
      <c r="D223" s="19" t="n">
        <v>17</v>
      </c>
      <c r="E223" s="16" t="n">
        <v>1</v>
      </c>
      <c r="F223" s="20" t="n">
        <v>0.0058</v>
      </c>
      <c r="G223" s="17" t="n">
        <v>41.98</v>
      </c>
      <c r="H223" s="17" t="n">
        <v>46.8</v>
      </c>
      <c r="I223" s="17" t="n">
        <v>93.5</v>
      </c>
      <c r="J223" s="21" t="n">
        <v>61</v>
      </c>
    </row>
    <row r="224">
      <c r="A224" s="18" t="n">
        <v>46290</v>
      </c>
      <c r="B224" s="16" t="inlineStr">
        <is>
          <t>R-03</t>
        </is>
      </c>
      <c r="C224" s="19" t="n">
        <v>2435</v>
      </c>
      <c r="D224" s="19" t="n">
        <v>120</v>
      </c>
      <c r="E224" s="16" t="n">
        <v>2</v>
      </c>
      <c r="F224" s="20" t="n">
        <v>0.04928</v>
      </c>
      <c r="G224" s="17" t="n">
        <v>51.17</v>
      </c>
      <c r="H224" s="17" t="n">
        <v>57</v>
      </c>
      <c r="I224" s="17" t="n">
        <v>94.90000000000001</v>
      </c>
      <c r="J224" s="21" t="n">
        <v>62</v>
      </c>
    </row>
    <row r="225">
      <c r="A225" s="18" t="n">
        <v>46290</v>
      </c>
      <c r="B225" s="16" t="inlineStr">
        <is>
          <t>R-04</t>
        </is>
      </c>
      <c r="C225" s="19" t="n">
        <v>2620</v>
      </c>
      <c r="D225" s="19" t="n">
        <v>11</v>
      </c>
      <c r="E225" s="16" t="n">
        <v>5</v>
      </c>
      <c r="F225" s="20" t="n">
        <v>0.0042</v>
      </c>
      <c r="G225" s="17" t="n">
        <v>40.9</v>
      </c>
      <c r="H225" s="17" t="n">
        <v>46.2</v>
      </c>
      <c r="I225" s="17" t="n">
        <v>93.2</v>
      </c>
      <c r="J225" s="21" t="n">
        <v>61</v>
      </c>
    </row>
    <row r="226">
      <c r="A226" s="18" t="n">
        <v>46291</v>
      </c>
      <c r="B226" s="16" t="inlineStr">
        <is>
          <t>R-01</t>
        </is>
      </c>
      <c r="C226" s="19" t="n">
        <v>1350</v>
      </c>
      <c r="D226" s="19" t="n">
        <v>6</v>
      </c>
      <c r="E226" s="16" t="n">
        <v>4</v>
      </c>
      <c r="F226" s="20" t="n">
        <v>0.00444</v>
      </c>
      <c r="G226" s="17" t="n">
        <v>39.92</v>
      </c>
      <c r="H226" s="17" t="n">
        <v>44.3</v>
      </c>
      <c r="I226" s="17" t="n">
        <v>95.40000000000001</v>
      </c>
      <c r="J226" s="21" t="n">
        <v>63</v>
      </c>
    </row>
    <row r="227">
      <c r="A227" s="18" t="n">
        <v>46291</v>
      </c>
      <c r="B227" s="16" t="inlineStr">
        <is>
          <t>R-02</t>
        </is>
      </c>
      <c r="C227" s="19" t="n">
        <v>1295</v>
      </c>
      <c r="D227" s="19" t="n">
        <v>5</v>
      </c>
      <c r="E227" s="16" t="n">
        <v>0</v>
      </c>
      <c r="F227" s="20" t="n">
        <v>0.00386</v>
      </c>
      <c r="G227" s="17" t="n">
        <v>41.91</v>
      </c>
      <c r="H227" s="17" t="n">
        <v>46</v>
      </c>
      <c r="I227" s="17" t="n">
        <v>93.59999999999999</v>
      </c>
      <c r="J227" s="21" t="n">
        <v>60</v>
      </c>
    </row>
    <row r="228">
      <c r="A228" s="18" t="n">
        <v>46291</v>
      </c>
      <c r="B228" s="16" t="inlineStr">
        <is>
          <t>R-03</t>
        </is>
      </c>
      <c r="C228" s="19" t="n">
        <v>1176</v>
      </c>
      <c r="D228" s="19" t="n">
        <v>62</v>
      </c>
      <c r="E228" s="16" t="n">
        <v>3</v>
      </c>
      <c r="F228" s="20" t="n">
        <v>0.05272</v>
      </c>
      <c r="G228" s="17" t="n">
        <v>51.29</v>
      </c>
      <c r="H228" s="17" t="n">
        <v>56.3</v>
      </c>
      <c r="I228" s="17" t="n">
        <v>95.09999999999999</v>
      </c>
      <c r="J228" s="21" t="n">
        <v>64.25</v>
      </c>
    </row>
    <row r="229">
      <c r="A229" s="18" t="n">
        <v>46291</v>
      </c>
      <c r="B229" s="16" t="inlineStr">
        <is>
          <t>R-04</t>
        </is>
      </c>
      <c r="C229" s="19" t="n">
        <v>1608</v>
      </c>
      <c r="D229" s="19" t="n">
        <v>6</v>
      </c>
      <c r="E229" s="16" t="n">
        <v>2</v>
      </c>
      <c r="F229" s="20" t="n">
        <v>0.00373</v>
      </c>
      <c r="G229" s="17" t="n">
        <v>40.91</v>
      </c>
      <c r="H229" s="17" t="n">
        <v>44.9</v>
      </c>
      <c r="I229" s="17" t="n">
        <v>93.3</v>
      </c>
      <c r="J229" s="21" t="n">
        <v>62</v>
      </c>
    </row>
    <row r="230">
      <c r="A230" s="18" t="n">
        <v>46292</v>
      </c>
      <c r="B230" s="16" t="inlineStr">
        <is>
          <t>R-01</t>
        </is>
      </c>
      <c r="C230" s="19" t="n">
        <v>1338</v>
      </c>
      <c r="D230" s="19" t="n">
        <v>6</v>
      </c>
      <c r="E230" s="16" t="n">
        <v>0</v>
      </c>
      <c r="F230" s="20" t="n">
        <v>0.00448</v>
      </c>
      <c r="G230" s="17" t="n">
        <v>39.92</v>
      </c>
      <c r="H230" s="17" t="n">
        <v>46.1</v>
      </c>
      <c r="I230" s="17" t="n">
        <v>93.90000000000001</v>
      </c>
      <c r="J230" s="21" t="n">
        <v>59</v>
      </c>
    </row>
    <row r="231">
      <c r="A231" s="18" t="n">
        <v>46292</v>
      </c>
      <c r="B231" s="16" t="inlineStr">
        <is>
          <t>R-02</t>
        </is>
      </c>
      <c r="C231" s="19" t="n">
        <v>1505</v>
      </c>
      <c r="D231" s="19" t="n">
        <v>8</v>
      </c>
      <c r="E231" s="16" t="n">
        <v>0</v>
      </c>
      <c r="F231" s="20" t="n">
        <v>0.00532</v>
      </c>
      <c r="G231" s="17" t="n">
        <v>41.86</v>
      </c>
      <c r="H231" s="17" t="n">
        <v>46.4</v>
      </c>
      <c r="I231" s="17" t="n">
        <v>91.59999999999999</v>
      </c>
      <c r="J231" s="21" t="n">
        <v>60</v>
      </c>
    </row>
    <row r="232">
      <c r="A232" s="18" t="n">
        <v>46292</v>
      </c>
      <c r="B232" s="16" t="inlineStr">
        <is>
          <t>R-03</t>
        </is>
      </c>
      <c r="C232" s="19" t="n">
        <v>1436</v>
      </c>
      <c r="D232" s="19" t="n">
        <v>59</v>
      </c>
      <c r="E232" s="16" t="n">
        <v>3</v>
      </c>
      <c r="F232" s="20" t="n">
        <v>0.04109</v>
      </c>
      <c r="G232" s="17" t="n">
        <v>51.43</v>
      </c>
      <c r="H232" s="17" t="n">
        <v>56</v>
      </c>
      <c r="I232" s="17" t="n">
        <v>93</v>
      </c>
      <c r="J232" s="21" t="n">
        <v>64</v>
      </c>
    </row>
    <row r="233">
      <c r="A233" s="18" t="n">
        <v>46292</v>
      </c>
      <c r="B233" s="16" t="inlineStr">
        <is>
          <t>R-04</t>
        </is>
      </c>
      <c r="C233" s="19" t="n">
        <v>1405</v>
      </c>
      <c r="D233" s="19" t="n">
        <v>7</v>
      </c>
      <c r="E233" s="16" t="n">
        <v>2</v>
      </c>
      <c r="F233" s="20" t="n">
        <v>0.00498</v>
      </c>
      <c r="G233" s="17" t="n">
        <v>40.86</v>
      </c>
      <c r="H233" s="17" t="n">
        <v>45.3</v>
      </c>
      <c r="I233" s="17" t="n">
        <v>94.3</v>
      </c>
      <c r="J233" s="21" t="n">
        <v>64</v>
      </c>
    </row>
    <row r="234">
      <c r="A234" s="18" t="n">
        <v>46293</v>
      </c>
      <c r="B234" s="16" t="inlineStr">
        <is>
          <t>R-01</t>
        </is>
      </c>
      <c r="C234" s="19" t="n">
        <v>2511</v>
      </c>
      <c r="D234" s="19" t="n">
        <v>7</v>
      </c>
      <c r="E234" s="16" t="n">
        <v>0</v>
      </c>
      <c r="F234" s="20" t="n">
        <v>0.00279</v>
      </c>
      <c r="G234" s="17" t="n">
        <v>39.9</v>
      </c>
      <c r="H234" s="17" t="n">
        <v>44.8</v>
      </c>
      <c r="I234" s="17" t="n">
        <v>95</v>
      </c>
      <c r="J234" s="21" t="n">
        <v>62</v>
      </c>
    </row>
    <row r="235">
      <c r="A235" s="18" t="n">
        <v>46293</v>
      </c>
      <c r="B235" s="16" t="inlineStr">
        <is>
          <t>R-02</t>
        </is>
      </c>
      <c r="C235" s="19" t="n">
        <v>2521</v>
      </c>
      <c r="D235" s="19" t="n">
        <v>10</v>
      </c>
      <c r="E235" s="16" t="n">
        <v>2</v>
      </c>
      <c r="F235" s="20" t="n">
        <v>0.00397</v>
      </c>
      <c r="G235" s="17" t="n">
        <v>41.91</v>
      </c>
      <c r="H235" s="17" t="n">
        <v>47.5</v>
      </c>
      <c r="I235" s="17" t="n">
        <v>95.3</v>
      </c>
      <c r="J235" s="21" t="n">
        <v>63</v>
      </c>
    </row>
    <row r="236">
      <c r="A236" s="18" t="n">
        <v>46293</v>
      </c>
      <c r="B236" s="16" t="inlineStr">
        <is>
          <t>R-03</t>
        </is>
      </c>
      <c r="C236" s="19" t="n">
        <v>2642</v>
      </c>
      <c r="D236" s="19" t="n">
        <v>109</v>
      </c>
      <c r="E236" s="16" t="n">
        <v>3</v>
      </c>
      <c r="F236" s="20" t="n">
        <v>0.04126000000000001</v>
      </c>
      <c r="G236" s="17" t="n">
        <v>51.63</v>
      </c>
      <c r="H236" s="17" t="n">
        <v>55.8</v>
      </c>
      <c r="I236" s="17" t="n">
        <v>93.40000000000001</v>
      </c>
      <c r="J236" s="21" t="n">
        <v>63</v>
      </c>
    </row>
    <row r="237">
      <c r="A237" s="18" t="n">
        <v>46293</v>
      </c>
      <c r="B237" s="16" t="inlineStr">
        <is>
          <t>R-04</t>
        </is>
      </c>
      <c r="C237" s="19" t="n">
        <v>2577</v>
      </c>
      <c r="D237" s="19" t="n">
        <v>11</v>
      </c>
      <c r="E237" s="16" t="n">
        <v>4</v>
      </c>
      <c r="F237" s="20" t="n">
        <v>0.004269999999999999</v>
      </c>
      <c r="G237" s="17" t="n">
        <v>40.88</v>
      </c>
      <c r="H237" s="17" t="n">
        <v>46.1</v>
      </c>
      <c r="I237" s="17" t="n">
        <v>91.2</v>
      </c>
      <c r="J237" s="21" t="n">
        <v>65</v>
      </c>
    </row>
    <row r="238">
      <c r="A238" s="18" t="n">
        <v>46294</v>
      </c>
      <c r="B238" s="16" t="inlineStr">
        <is>
          <t>R-01</t>
        </is>
      </c>
      <c r="C238" s="19" t="n">
        <v>2865</v>
      </c>
      <c r="D238" s="19" t="n">
        <v>11</v>
      </c>
      <c r="E238" s="16" t="n">
        <v>1</v>
      </c>
      <c r="F238" s="20" t="n">
        <v>0.00384</v>
      </c>
      <c r="G238" s="17" t="n">
        <v>39.96</v>
      </c>
      <c r="H238" s="17" t="n">
        <v>44.3</v>
      </c>
      <c r="I238" s="17" t="n">
        <v>94.7</v>
      </c>
      <c r="J238" s="21" t="n">
        <v>62.79999999999973</v>
      </c>
    </row>
    <row r="239">
      <c r="A239" s="18" t="n">
        <v>46294</v>
      </c>
      <c r="B239" s="16" t="inlineStr">
        <is>
          <t>R-02</t>
        </is>
      </c>
      <c r="C239" s="19" t="n">
        <v>2399</v>
      </c>
      <c r="D239" s="19" t="n">
        <v>11</v>
      </c>
      <c r="E239" s="16" t="n">
        <v>1</v>
      </c>
      <c r="F239" s="20" t="n">
        <v>0.00459</v>
      </c>
      <c r="G239" s="17" t="n">
        <v>41.94</v>
      </c>
      <c r="H239" s="17" t="n">
        <v>46.1</v>
      </c>
      <c r="I239" s="17" t="n">
        <v>93.8</v>
      </c>
      <c r="J239" s="21" t="n">
        <v>62</v>
      </c>
    </row>
    <row r="240">
      <c r="A240" s="18" t="n">
        <v>46294</v>
      </c>
      <c r="B240" s="16" t="inlineStr">
        <is>
          <t>R-03</t>
        </is>
      </c>
      <c r="C240" s="19" t="n">
        <v>2426</v>
      </c>
      <c r="D240" s="19" t="n">
        <v>130</v>
      </c>
      <c r="E240" s="16" t="n">
        <v>5</v>
      </c>
      <c r="F240" s="20" t="n">
        <v>0.05359</v>
      </c>
      <c r="G240" s="17" t="n">
        <v>51.68</v>
      </c>
      <c r="H240" s="17" t="n">
        <v>56.1</v>
      </c>
      <c r="I240" s="17" t="n">
        <v>90.09999999999999</v>
      </c>
      <c r="J240" s="21" t="n">
        <v>65</v>
      </c>
    </row>
    <row r="241">
      <c r="A241" s="18" t="n">
        <v>46294</v>
      </c>
      <c r="B241" s="16" t="inlineStr">
        <is>
          <t>R-04</t>
        </is>
      </c>
      <c r="C241" s="19" t="n">
        <v>2474</v>
      </c>
      <c r="D241" s="19" t="n">
        <v>9</v>
      </c>
      <c r="E241" s="16" t="n">
        <v>0</v>
      </c>
      <c r="F241" s="20" t="n">
        <v>0.00364</v>
      </c>
      <c r="G241" s="17" t="n">
        <v>40.86</v>
      </c>
      <c r="H241" s="17" t="n">
        <v>45.1</v>
      </c>
      <c r="I241" s="17" t="n">
        <v>92.5</v>
      </c>
      <c r="J241" s="21" t="n">
        <v>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3" customWidth="1" min="5" max="5"/>
    <col width="26" customWidth="1" min="7" max="7"/>
  </cols>
  <sheetData>
    <row r="1">
      <c r="A1" s="5" t="inlineStr">
        <is>
          <t>Дата</t>
        </is>
      </c>
      <c r="B1" s="5" t="inlineStr">
        <is>
          <t>Робот</t>
        </is>
      </c>
      <c r="C1" s="5" t="inlineStr">
        <is>
          <t>Факт ошибок</t>
        </is>
      </c>
      <c r="D1" s="5" t="inlineStr">
        <is>
          <t>Прогноз модели</t>
        </is>
      </c>
      <c r="E1" s="5" t="inlineStr">
        <is>
          <t>Абс. ошибка</t>
        </is>
      </c>
      <c r="G1" s="2" t="inlineStr">
        <is>
          <t>MAE модели, ошибок/день</t>
        </is>
      </c>
      <c r="H1" s="22">
        <f>AVERAGE(E2:E57)</f>
        <v/>
      </c>
    </row>
    <row r="2">
      <c r="A2" s="18" t="n">
        <v>46281</v>
      </c>
      <c r="B2" s="16" t="inlineStr">
        <is>
          <t>R-01</t>
        </is>
      </c>
      <c r="C2" s="16" t="n">
        <v>15</v>
      </c>
      <c r="D2" s="17" t="n">
        <v>13.2</v>
      </c>
      <c r="E2" s="17">
        <f>ABS(C2-D2)</f>
        <v/>
      </c>
    </row>
    <row r="3">
      <c r="A3" s="18" t="n">
        <v>46282</v>
      </c>
      <c r="B3" s="16" t="inlineStr">
        <is>
          <t>R-01</t>
        </is>
      </c>
      <c r="C3" s="16" t="n">
        <v>8</v>
      </c>
      <c r="D3" s="17" t="n">
        <v>12.6</v>
      </c>
      <c r="E3" s="17">
        <f>ABS(C3-D3)</f>
        <v/>
      </c>
    </row>
    <row r="4">
      <c r="A4" s="18" t="n">
        <v>46283</v>
      </c>
      <c r="B4" s="16" t="inlineStr">
        <is>
          <t>R-01</t>
        </is>
      </c>
      <c r="C4" s="16" t="n">
        <v>13</v>
      </c>
      <c r="D4" s="17" t="n">
        <v>8.5</v>
      </c>
      <c r="E4" s="17">
        <f>ABS(C4-D4)</f>
        <v/>
      </c>
    </row>
    <row r="5">
      <c r="A5" s="18" t="n">
        <v>46284</v>
      </c>
      <c r="B5" s="16" t="inlineStr">
        <is>
          <t>R-01</t>
        </is>
      </c>
      <c r="C5" s="16" t="n">
        <v>8</v>
      </c>
      <c r="D5" s="17" t="n">
        <v>3.8</v>
      </c>
      <c r="E5" s="17">
        <f>ABS(C5-D5)</f>
        <v/>
      </c>
    </row>
    <row r="6">
      <c r="A6" s="18" t="n">
        <v>46285</v>
      </c>
      <c r="B6" s="16" t="inlineStr">
        <is>
          <t>R-01</t>
        </is>
      </c>
      <c r="C6" s="16" t="n">
        <v>6</v>
      </c>
      <c r="D6" s="17" t="n">
        <v>2.2</v>
      </c>
      <c r="E6" s="17">
        <f>ABS(C6-D6)</f>
        <v/>
      </c>
    </row>
    <row r="7">
      <c r="A7" s="18" t="n">
        <v>46286</v>
      </c>
      <c r="B7" s="16" t="inlineStr">
        <is>
          <t>R-01</t>
        </is>
      </c>
      <c r="C7" s="16" t="n">
        <v>13</v>
      </c>
      <c r="D7" s="17" t="n">
        <v>11.8</v>
      </c>
      <c r="E7" s="17">
        <f>ABS(C7-D7)</f>
        <v/>
      </c>
    </row>
    <row r="8">
      <c r="A8" s="18" t="n">
        <v>46287</v>
      </c>
      <c r="B8" s="16" t="inlineStr">
        <is>
          <t>R-01</t>
        </is>
      </c>
      <c r="C8" s="16" t="n">
        <v>8</v>
      </c>
      <c r="D8" s="17" t="n">
        <v>12.8</v>
      </c>
      <c r="E8" s="17">
        <f>ABS(C8-D8)</f>
        <v/>
      </c>
    </row>
    <row r="9">
      <c r="A9" s="18" t="n">
        <v>46288</v>
      </c>
      <c r="B9" s="16" t="inlineStr">
        <is>
          <t>R-01</t>
        </is>
      </c>
      <c r="C9" s="16" t="n">
        <v>6</v>
      </c>
      <c r="D9" s="17" t="n">
        <v>14.2</v>
      </c>
      <c r="E9" s="17">
        <f>ABS(C9-D9)</f>
        <v/>
      </c>
    </row>
    <row r="10">
      <c r="A10" s="18" t="n">
        <v>46289</v>
      </c>
      <c r="B10" s="16" t="inlineStr">
        <is>
          <t>R-01</t>
        </is>
      </c>
      <c r="C10" s="16" t="n">
        <v>11</v>
      </c>
      <c r="D10" s="17" t="n">
        <v>10.3</v>
      </c>
      <c r="E10" s="17">
        <f>ABS(C10-D10)</f>
        <v/>
      </c>
    </row>
    <row r="11">
      <c r="A11" s="18" t="n">
        <v>46290</v>
      </c>
      <c r="B11" s="16" t="inlineStr">
        <is>
          <t>R-01</t>
        </is>
      </c>
      <c r="C11" s="16" t="n">
        <v>12</v>
      </c>
      <c r="D11" s="17" t="n">
        <v>13</v>
      </c>
      <c r="E11" s="17">
        <f>ABS(C11-D11)</f>
        <v/>
      </c>
    </row>
    <row r="12">
      <c r="A12" s="18" t="n">
        <v>46291</v>
      </c>
      <c r="B12" s="16" t="inlineStr">
        <is>
          <t>R-01</t>
        </is>
      </c>
      <c r="C12" s="16" t="n">
        <v>6</v>
      </c>
      <c r="D12" s="17" t="n">
        <v>5.4</v>
      </c>
      <c r="E12" s="17">
        <f>ABS(C12-D12)</f>
        <v/>
      </c>
    </row>
    <row r="13">
      <c r="A13" s="18" t="n">
        <v>46292</v>
      </c>
      <c r="B13" s="16" t="inlineStr">
        <is>
          <t>R-01</t>
        </is>
      </c>
      <c r="C13" s="16" t="n">
        <v>6</v>
      </c>
      <c r="D13" s="17" t="n">
        <v>4.4</v>
      </c>
      <c r="E13" s="17">
        <f>ABS(C13-D13)</f>
        <v/>
      </c>
    </row>
    <row r="14">
      <c r="A14" s="18" t="n">
        <v>46293</v>
      </c>
      <c r="B14" s="16" t="inlineStr">
        <is>
          <t>R-01</t>
        </is>
      </c>
      <c r="C14" s="16" t="n">
        <v>7</v>
      </c>
      <c r="D14" s="17" t="n">
        <v>13.9</v>
      </c>
      <c r="E14" s="17">
        <f>ABS(C14-D14)</f>
        <v/>
      </c>
    </row>
    <row r="15">
      <c r="A15" s="18" t="n">
        <v>46294</v>
      </c>
      <c r="B15" s="16" t="inlineStr">
        <is>
          <t>R-01</t>
        </is>
      </c>
      <c r="C15" s="16" t="n">
        <v>11</v>
      </c>
      <c r="D15" s="17" t="n">
        <v>11.1</v>
      </c>
      <c r="E15" s="17">
        <f>ABS(C15-D15)</f>
        <v/>
      </c>
    </row>
    <row r="16">
      <c r="A16" s="18" t="n">
        <v>46281</v>
      </c>
      <c r="B16" s="16" t="inlineStr">
        <is>
          <t>R-02</t>
        </is>
      </c>
      <c r="C16" s="16" t="n">
        <v>10</v>
      </c>
      <c r="D16" s="17" t="n">
        <v>15.9</v>
      </c>
      <c r="E16" s="17">
        <f>ABS(C16-D16)</f>
        <v/>
      </c>
    </row>
    <row r="17">
      <c r="A17" s="18" t="n">
        <v>46282</v>
      </c>
      <c r="B17" s="16" t="inlineStr">
        <is>
          <t>R-02</t>
        </is>
      </c>
      <c r="C17" s="16" t="n">
        <v>9</v>
      </c>
      <c r="D17" s="17" t="n">
        <v>12.1</v>
      </c>
      <c r="E17" s="17">
        <f>ABS(C17-D17)</f>
        <v/>
      </c>
    </row>
    <row r="18">
      <c r="A18" s="18" t="n">
        <v>46283</v>
      </c>
      <c r="B18" s="16" t="inlineStr">
        <is>
          <t>R-02</t>
        </is>
      </c>
      <c r="C18" s="16" t="n">
        <v>17</v>
      </c>
      <c r="D18" s="17" t="n">
        <v>15.7</v>
      </c>
      <c r="E18" s="17">
        <f>ABS(C18-D18)</f>
        <v/>
      </c>
    </row>
    <row r="19">
      <c r="A19" s="18" t="n">
        <v>46284</v>
      </c>
      <c r="B19" s="16" t="inlineStr">
        <is>
          <t>R-02</t>
        </is>
      </c>
      <c r="C19" s="16" t="n">
        <v>5</v>
      </c>
      <c r="D19" s="17" t="n">
        <v>2.4</v>
      </c>
      <c r="E19" s="17">
        <f>ABS(C19-D19)</f>
        <v/>
      </c>
    </row>
    <row r="20">
      <c r="A20" s="18" t="n">
        <v>46285</v>
      </c>
      <c r="B20" s="16" t="inlineStr">
        <is>
          <t>R-02</t>
        </is>
      </c>
      <c r="C20" s="16" t="n">
        <v>6</v>
      </c>
      <c r="D20" s="17" t="n">
        <v>4.2</v>
      </c>
      <c r="E20" s="17">
        <f>ABS(C20-D20)</f>
        <v/>
      </c>
    </row>
    <row r="21">
      <c r="A21" s="18" t="n">
        <v>46286</v>
      </c>
      <c r="B21" s="16" t="inlineStr">
        <is>
          <t>R-02</t>
        </is>
      </c>
      <c r="C21" s="16" t="n">
        <v>11</v>
      </c>
      <c r="D21" s="17" t="n">
        <v>11.8</v>
      </c>
      <c r="E21" s="17">
        <f>ABS(C21-D21)</f>
        <v/>
      </c>
    </row>
    <row r="22">
      <c r="A22" s="18" t="n">
        <v>46287</v>
      </c>
      <c r="B22" s="16" t="inlineStr">
        <is>
          <t>R-02</t>
        </is>
      </c>
      <c r="C22" s="16" t="n">
        <v>9</v>
      </c>
      <c r="D22" s="17" t="n">
        <v>13.2</v>
      </c>
      <c r="E22" s="17">
        <f>ABS(C22-D22)</f>
        <v/>
      </c>
    </row>
    <row r="23">
      <c r="A23" s="18" t="n">
        <v>46288</v>
      </c>
      <c r="B23" s="16" t="inlineStr">
        <is>
          <t>R-02</t>
        </is>
      </c>
      <c r="C23" s="16" t="n">
        <v>14</v>
      </c>
      <c r="D23" s="17" t="n">
        <v>11.9</v>
      </c>
      <c r="E23" s="17">
        <f>ABS(C23-D23)</f>
        <v/>
      </c>
    </row>
    <row r="24">
      <c r="A24" s="18" t="n">
        <v>46289</v>
      </c>
      <c r="B24" s="16" t="inlineStr">
        <is>
          <t>R-02</t>
        </is>
      </c>
      <c r="C24" s="16" t="n">
        <v>13</v>
      </c>
      <c r="D24" s="17" t="n">
        <v>10.8</v>
      </c>
      <c r="E24" s="17">
        <f>ABS(C24-D24)</f>
        <v/>
      </c>
    </row>
    <row r="25">
      <c r="A25" s="18" t="n">
        <v>46290</v>
      </c>
      <c r="B25" s="16" t="inlineStr">
        <is>
          <t>R-02</t>
        </is>
      </c>
      <c r="C25" s="16" t="n">
        <v>17</v>
      </c>
      <c r="D25" s="17" t="n">
        <v>15.6</v>
      </c>
      <c r="E25" s="17">
        <f>ABS(C25-D25)</f>
        <v/>
      </c>
    </row>
    <row r="26">
      <c r="A26" s="18" t="n">
        <v>46291</v>
      </c>
      <c r="B26" s="16" t="inlineStr">
        <is>
          <t>R-02</t>
        </is>
      </c>
      <c r="C26" s="16" t="n">
        <v>5</v>
      </c>
      <c r="D26" s="17" t="n">
        <v>3.5</v>
      </c>
      <c r="E26" s="17">
        <f>ABS(C26-D26)</f>
        <v/>
      </c>
    </row>
    <row r="27">
      <c r="A27" s="18" t="n">
        <v>46292</v>
      </c>
      <c r="B27" s="16" t="inlineStr">
        <is>
          <t>R-02</t>
        </is>
      </c>
      <c r="C27" s="16" t="n">
        <v>8</v>
      </c>
      <c r="D27" s="17" t="n">
        <v>4.1</v>
      </c>
      <c r="E27" s="17">
        <f>ABS(C27-D27)</f>
        <v/>
      </c>
    </row>
    <row r="28">
      <c r="A28" s="18" t="n">
        <v>46293</v>
      </c>
      <c r="B28" s="16" t="inlineStr">
        <is>
          <t>R-02</t>
        </is>
      </c>
      <c r="C28" s="16" t="n">
        <v>10</v>
      </c>
      <c r="D28" s="17" t="n">
        <v>12.2</v>
      </c>
      <c r="E28" s="17">
        <f>ABS(C28-D28)</f>
        <v/>
      </c>
    </row>
    <row r="29">
      <c r="A29" s="18" t="n">
        <v>46294</v>
      </c>
      <c r="B29" s="16" t="inlineStr">
        <is>
          <t>R-02</t>
        </is>
      </c>
      <c r="C29" s="16" t="n">
        <v>11</v>
      </c>
      <c r="D29" s="17" t="n">
        <v>11.2</v>
      </c>
      <c r="E29" s="17">
        <f>ABS(C29-D29)</f>
        <v/>
      </c>
    </row>
    <row r="30">
      <c r="A30" s="18" t="n">
        <v>46281</v>
      </c>
      <c r="B30" s="16" t="inlineStr">
        <is>
          <t>R-03</t>
        </is>
      </c>
      <c r="C30" s="16" t="n">
        <v>101</v>
      </c>
      <c r="D30" s="17" t="n">
        <v>88.40000000000001</v>
      </c>
      <c r="E30" s="17">
        <f>ABS(C30-D30)</f>
        <v/>
      </c>
    </row>
    <row r="31">
      <c r="A31" s="18" t="n">
        <v>46282</v>
      </c>
      <c r="B31" s="16" t="inlineStr">
        <is>
          <t>R-03</t>
        </is>
      </c>
      <c r="C31" s="16" t="n">
        <v>92</v>
      </c>
      <c r="D31" s="17" t="n">
        <v>90.7</v>
      </c>
      <c r="E31" s="17">
        <f>ABS(C31-D31)</f>
        <v/>
      </c>
    </row>
    <row r="32">
      <c r="A32" s="18" t="n">
        <v>46283</v>
      </c>
      <c r="B32" s="16" t="inlineStr">
        <is>
          <t>R-03</t>
        </is>
      </c>
      <c r="C32" s="16" t="n">
        <v>94</v>
      </c>
      <c r="D32" s="17" t="n">
        <v>109.5</v>
      </c>
      <c r="E32" s="17">
        <f>ABS(C32-D32)</f>
        <v/>
      </c>
    </row>
    <row r="33">
      <c r="A33" s="18" t="n">
        <v>46284</v>
      </c>
      <c r="B33" s="16" t="inlineStr">
        <is>
          <t>R-03</t>
        </is>
      </c>
      <c r="C33" s="16" t="n">
        <v>50</v>
      </c>
      <c r="D33" s="17" t="n">
        <v>70.90000000000001</v>
      </c>
      <c r="E33" s="17">
        <f>ABS(C33-D33)</f>
        <v/>
      </c>
    </row>
    <row r="34">
      <c r="A34" s="18" t="n">
        <v>46285</v>
      </c>
      <c r="B34" s="16" t="inlineStr">
        <is>
          <t>R-03</t>
        </is>
      </c>
      <c r="C34" s="16" t="n">
        <v>72</v>
      </c>
      <c r="D34" s="17" t="n">
        <v>76.40000000000001</v>
      </c>
      <c r="E34" s="17">
        <f>ABS(C34-D34)</f>
        <v/>
      </c>
    </row>
    <row r="35">
      <c r="A35" s="18" t="n">
        <v>46286</v>
      </c>
      <c r="B35" s="16" t="inlineStr">
        <is>
          <t>R-03</t>
        </is>
      </c>
      <c r="C35" s="16" t="n">
        <v>121</v>
      </c>
      <c r="D35" s="17" t="n">
        <v>110</v>
      </c>
      <c r="E35" s="17">
        <f>ABS(C35-D35)</f>
        <v/>
      </c>
    </row>
    <row r="36">
      <c r="A36" s="18" t="n">
        <v>46287</v>
      </c>
      <c r="B36" s="16" t="inlineStr">
        <is>
          <t>R-03</t>
        </is>
      </c>
      <c r="C36" s="16" t="n">
        <v>126</v>
      </c>
      <c r="D36" s="17" t="n">
        <v>100.7</v>
      </c>
      <c r="E36" s="17">
        <f>ABS(C36-D36)</f>
        <v/>
      </c>
    </row>
    <row r="37">
      <c r="A37" s="18" t="n">
        <v>46288</v>
      </c>
      <c r="B37" s="16" t="inlineStr">
        <is>
          <t>R-03</t>
        </is>
      </c>
      <c r="C37" s="16" t="n">
        <v>113</v>
      </c>
      <c r="D37" s="17" t="n">
        <v>109.5</v>
      </c>
      <c r="E37" s="17">
        <f>ABS(C37-D37)</f>
        <v/>
      </c>
    </row>
    <row r="38">
      <c r="A38" s="18" t="n">
        <v>46289</v>
      </c>
      <c r="B38" s="16" t="inlineStr">
        <is>
          <t>R-03</t>
        </is>
      </c>
      <c r="C38" s="16" t="n">
        <v>110</v>
      </c>
      <c r="D38" s="17" t="n">
        <v>105.4</v>
      </c>
      <c r="E38" s="17">
        <f>ABS(C38-D38)</f>
        <v/>
      </c>
    </row>
    <row r="39">
      <c r="A39" s="18" t="n">
        <v>46290</v>
      </c>
      <c r="B39" s="16" t="inlineStr">
        <is>
          <t>R-03</t>
        </is>
      </c>
      <c r="C39" s="16" t="n">
        <v>120</v>
      </c>
      <c r="D39" s="17" t="n">
        <v>107.5</v>
      </c>
      <c r="E39" s="17">
        <f>ABS(C39-D39)</f>
        <v/>
      </c>
    </row>
    <row r="40">
      <c r="A40" s="18" t="n">
        <v>46291</v>
      </c>
      <c r="B40" s="16" t="inlineStr">
        <is>
          <t>R-03</t>
        </is>
      </c>
      <c r="C40" s="16" t="n">
        <v>62</v>
      </c>
      <c r="D40" s="17" t="n">
        <v>73.90000000000001</v>
      </c>
      <c r="E40" s="17">
        <f>ABS(C40-D40)</f>
        <v/>
      </c>
    </row>
    <row r="41">
      <c r="A41" s="18" t="n">
        <v>46292</v>
      </c>
      <c r="B41" s="16" t="inlineStr">
        <is>
          <t>R-03</t>
        </is>
      </c>
      <c r="C41" s="16" t="n">
        <v>59</v>
      </c>
      <c r="D41" s="17" t="n">
        <v>88</v>
      </c>
      <c r="E41" s="17">
        <f>ABS(C41-D41)</f>
        <v/>
      </c>
    </row>
    <row r="42">
      <c r="A42" s="18" t="n">
        <v>46293</v>
      </c>
      <c r="B42" s="16" t="inlineStr">
        <is>
          <t>R-03</t>
        </is>
      </c>
      <c r="C42" s="16" t="n">
        <v>109</v>
      </c>
      <c r="D42" s="17" t="n">
        <v>125.8</v>
      </c>
      <c r="E42" s="17">
        <f>ABS(C42-D42)</f>
        <v/>
      </c>
    </row>
    <row r="43">
      <c r="A43" s="18" t="n">
        <v>46294</v>
      </c>
      <c r="B43" s="16" t="inlineStr">
        <is>
          <t>R-03</t>
        </is>
      </c>
      <c r="C43" s="16" t="n">
        <v>130</v>
      </c>
      <c r="D43" s="17" t="n">
        <v>131</v>
      </c>
      <c r="E43" s="17">
        <f>ABS(C43-D43)</f>
        <v/>
      </c>
    </row>
    <row r="44">
      <c r="A44" s="18" t="n">
        <v>46281</v>
      </c>
      <c r="B44" s="16" t="inlineStr">
        <is>
          <t>R-04</t>
        </is>
      </c>
      <c r="C44" s="16" t="n">
        <v>12</v>
      </c>
      <c r="D44" s="17" t="n">
        <v>11.1</v>
      </c>
      <c r="E44" s="17">
        <f>ABS(C44-D44)</f>
        <v/>
      </c>
    </row>
    <row r="45">
      <c r="A45" s="18" t="n">
        <v>46282</v>
      </c>
      <c r="B45" s="16" t="inlineStr">
        <is>
          <t>R-04</t>
        </is>
      </c>
      <c r="C45" s="16" t="n">
        <v>11</v>
      </c>
      <c r="D45" s="17" t="n">
        <v>12.2</v>
      </c>
      <c r="E45" s="17">
        <f>ABS(C45-D45)</f>
        <v/>
      </c>
    </row>
    <row r="46">
      <c r="A46" s="18" t="n">
        <v>46283</v>
      </c>
      <c r="B46" s="16" t="inlineStr">
        <is>
          <t>R-04</t>
        </is>
      </c>
      <c r="C46" s="16" t="n">
        <v>17</v>
      </c>
      <c r="D46" s="17" t="n">
        <v>9.6</v>
      </c>
      <c r="E46" s="17">
        <f>ABS(C46-D46)</f>
        <v/>
      </c>
    </row>
    <row r="47">
      <c r="A47" s="18" t="n">
        <v>46284</v>
      </c>
      <c r="B47" s="16" t="inlineStr">
        <is>
          <t>R-04</t>
        </is>
      </c>
      <c r="C47" s="16" t="n">
        <v>4</v>
      </c>
      <c r="D47" s="17" t="n">
        <v>4.7</v>
      </c>
      <c r="E47" s="17">
        <f>ABS(C47-D47)</f>
        <v/>
      </c>
    </row>
    <row r="48">
      <c r="A48" s="18" t="n">
        <v>46285</v>
      </c>
      <c r="B48" s="16" t="inlineStr">
        <is>
          <t>R-04</t>
        </is>
      </c>
      <c r="C48" s="16" t="n">
        <v>2</v>
      </c>
      <c r="D48" s="17" t="n">
        <v>4.1</v>
      </c>
      <c r="E48" s="17">
        <f>ABS(C48-D48)</f>
        <v/>
      </c>
    </row>
    <row r="49">
      <c r="A49" s="18" t="n">
        <v>46286</v>
      </c>
      <c r="B49" s="16" t="inlineStr">
        <is>
          <t>R-04</t>
        </is>
      </c>
      <c r="C49" s="16" t="n">
        <v>13</v>
      </c>
      <c r="D49" s="17" t="n">
        <v>12.2</v>
      </c>
      <c r="E49" s="17">
        <f>ABS(C49-D49)</f>
        <v/>
      </c>
    </row>
    <row r="50">
      <c r="A50" s="18" t="n">
        <v>46287</v>
      </c>
      <c r="B50" s="16" t="inlineStr">
        <is>
          <t>R-04</t>
        </is>
      </c>
      <c r="C50" s="16" t="n">
        <v>10</v>
      </c>
      <c r="D50" s="17" t="n">
        <v>11.6</v>
      </c>
      <c r="E50" s="17">
        <f>ABS(C50-D50)</f>
        <v/>
      </c>
    </row>
    <row r="51">
      <c r="A51" s="18" t="n">
        <v>46288</v>
      </c>
      <c r="B51" s="16" t="inlineStr">
        <is>
          <t>R-04</t>
        </is>
      </c>
      <c r="C51" s="16" t="n">
        <v>13</v>
      </c>
      <c r="D51" s="17" t="n">
        <v>12.6</v>
      </c>
      <c r="E51" s="17">
        <f>ABS(C51-D51)</f>
        <v/>
      </c>
    </row>
    <row r="52">
      <c r="A52" s="18" t="n">
        <v>46289</v>
      </c>
      <c r="B52" s="16" t="inlineStr">
        <is>
          <t>R-04</t>
        </is>
      </c>
      <c r="C52" s="16" t="n">
        <v>9</v>
      </c>
      <c r="D52" s="17" t="n">
        <v>12.2</v>
      </c>
      <c r="E52" s="17">
        <f>ABS(C52-D52)</f>
        <v/>
      </c>
    </row>
    <row r="53">
      <c r="A53" s="18" t="n">
        <v>46290</v>
      </c>
      <c r="B53" s="16" t="inlineStr">
        <is>
          <t>R-04</t>
        </is>
      </c>
      <c r="C53" s="16" t="n">
        <v>11</v>
      </c>
      <c r="D53" s="17" t="n">
        <v>15.8</v>
      </c>
      <c r="E53" s="17">
        <f>ABS(C53-D53)</f>
        <v/>
      </c>
    </row>
    <row r="54">
      <c r="A54" s="18" t="n">
        <v>46291</v>
      </c>
      <c r="B54" s="16" t="inlineStr">
        <is>
          <t>R-04</t>
        </is>
      </c>
      <c r="C54" s="16" t="n">
        <v>6</v>
      </c>
      <c r="D54" s="17" t="n">
        <v>3.4</v>
      </c>
      <c r="E54" s="17">
        <f>ABS(C54-D54)</f>
        <v/>
      </c>
    </row>
    <row r="55">
      <c r="A55" s="18" t="n">
        <v>46292</v>
      </c>
      <c r="B55" s="16" t="inlineStr">
        <is>
          <t>R-04</t>
        </is>
      </c>
      <c r="C55" s="16" t="n">
        <v>7</v>
      </c>
      <c r="D55" s="17" t="n">
        <v>1.9</v>
      </c>
      <c r="E55" s="17">
        <f>ABS(C55-D55)</f>
        <v/>
      </c>
    </row>
    <row r="56">
      <c r="A56" s="18" t="n">
        <v>46293</v>
      </c>
      <c r="B56" s="16" t="inlineStr">
        <is>
          <t>R-04</t>
        </is>
      </c>
      <c r="C56" s="16" t="n">
        <v>11</v>
      </c>
      <c r="D56" s="17" t="n">
        <v>13.2</v>
      </c>
      <c r="E56" s="17">
        <f>ABS(C56-D56)</f>
        <v/>
      </c>
    </row>
    <row r="57">
      <c r="A57" s="18" t="n">
        <v>46294</v>
      </c>
      <c r="B57" s="16" t="inlineStr">
        <is>
          <t>R-04</t>
        </is>
      </c>
      <c r="C57" s="16" t="n">
        <v>9</v>
      </c>
      <c r="D57" s="17" t="n">
        <v>11.5</v>
      </c>
      <c r="E57" s="17">
        <f>ABS(C57-D57)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6" customWidth="1" min="5" max="5"/>
    <col width="19" customWidth="1" min="6" max="6"/>
    <col width="16" customWidth="1" min="7" max="7"/>
    <col width="24" customWidth="1" min="9" max="9"/>
  </cols>
  <sheetData>
    <row r="1">
      <c r="A1" s="5" t="inlineStr">
        <is>
          <t>Дата</t>
        </is>
      </c>
      <c r="B1" s="5" t="inlineStr">
        <is>
          <t>Строк на входе</t>
        </is>
      </c>
      <c r="C1" s="5" t="inlineStr">
        <is>
          <t>Дубли</t>
        </is>
      </c>
      <c r="D1" s="5" t="inlineStr">
        <is>
          <t>Битые строки</t>
        </is>
      </c>
      <c r="E1" s="5" t="inlineStr">
        <is>
          <t>Мусор в temp</t>
        </is>
      </c>
      <c r="F1" s="5" t="inlineStr">
        <is>
          <t>Пропуски заряда</t>
        </is>
      </c>
      <c r="G1" s="5" t="inlineStr">
        <is>
          <t>Чистых строк</t>
        </is>
      </c>
      <c r="I1" s="2" t="inlineStr">
        <is>
          <t>Доля отброшенных строк</t>
        </is>
      </c>
      <c r="J1" s="23">
        <f>1-SUM(G2:G61)/SUM(B2:B61)</f>
        <v/>
      </c>
    </row>
    <row r="2">
      <c r="A2" s="18" t="n">
        <v>46235</v>
      </c>
      <c r="B2" s="19" t="n">
        <v>5973</v>
      </c>
      <c r="C2" s="16" t="n">
        <v>119</v>
      </c>
      <c r="D2" s="16" t="n">
        <v>29</v>
      </c>
      <c r="E2" s="16" t="n">
        <v>21</v>
      </c>
      <c r="F2" s="16" t="n">
        <v>61</v>
      </c>
      <c r="G2" s="19" t="n">
        <v>5825</v>
      </c>
    </row>
    <row r="3">
      <c r="A3" s="18" t="n">
        <v>46236</v>
      </c>
      <c r="B3" s="19" t="n">
        <v>6249</v>
      </c>
      <c r="C3" s="16" t="n">
        <v>131</v>
      </c>
      <c r="D3" s="16" t="n">
        <v>24</v>
      </c>
      <c r="E3" s="16" t="n">
        <v>25</v>
      </c>
      <c r="F3" s="16" t="n">
        <v>54</v>
      </c>
      <c r="G3" s="19" t="n">
        <v>6094</v>
      </c>
    </row>
    <row r="4">
      <c r="A4" s="18" t="n">
        <v>46237</v>
      </c>
      <c r="B4" s="19" t="n">
        <v>10639</v>
      </c>
      <c r="C4" s="16" t="n">
        <v>205</v>
      </c>
      <c r="D4" s="16" t="n">
        <v>50</v>
      </c>
      <c r="E4" s="16" t="n">
        <v>34</v>
      </c>
      <c r="F4" s="16" t="n">
        <v>91</v>
      </c>
      <c r="G4" s="19" t="n">
        <v>10384</v>
      </c>
    </row>
    <row r="5">
      <c r="A5" s="18" t="n">
        <v>46238</v>
      </c>
      <c r="B5" s="19" t="n">
        <v>10640</v>
      </c>
      <c r="C5" s="16" t="n">
        <v>220</v>
      </c>
      <c r="D5" s="16" t="n">
        <v>66</v>
      </c>
      <c r="E5" s="16" t="n">
        <v>33</v>
      </c>
      <c r="F5" s="16" t="n">
        <v>104</v>
      </c>
      <c r="G5" s="19" t="n">
        <v>10354</v>
      </c>
    </row>
    <row r="6">
      <c r="A6" s="18" t="n">
        <v>46239</v>
      </c>
      <c r="B6" s="19" t="n">
        <v>10264</v>
      </c>
      <c r="C6" s="16" t="n">
        <v>202</v>
      </c>
      <c r="D6" s="16" t="n">
        <v>44</v>
      </c>
      <c r="E6" s="16" t="n">
        <v>23</v>
      </c>
      <c r="F6" s="16" t="n">
        <v>90</v>
      </c>
      <c r="G6" s="19" t="n">
        <v>10018</v>
      </c>
    </row>
    <row r="7">
      <c r="A7" s="18" t="n">
        <v>46240</v>
      </c>
      <c r="B7" s="19" t="n">
        <v>10772</v>
      </c>
      <c r="C7" s="16" t="n">
        <v>220</v>
      </c>
      <c r="D7" s="16" t="n">
        <v>51</v>
      </c>
      <c r="E7" s="16" t="n">
        <v>34</v>
      </c>
      <c r="F7" s="16" t="n">
        <v>101</v>
      </c>
      <c r="G7" s="19" t="n">
        <v>10501</v>
      </c>
    </row>
    <row r="8">
      <c r="A8" s="18" t="n">
        <v>46241</v>
      </c>
      <c r="B8" s="19" t="n">
        <v>10693</v>
      </c>
      <c r="C8" s="16" t="n">
        <v>188</v>
      </c>
      <c r="D8" s="16" t="n">
        <v>46</v>
      </c>
      <c r="E8" s="16" t="n">
        <v>36</v>
      </c>
      <c r="F8" s="16" t="n">
        <v>98</v>
      </c>
      <c r="G8" s="19" t="n">
        <v>10459</v>
      </c>
    </row>
    <row r="9">
      <c r="A9" s="18" t="n">
        <v>46242</v>
      </c>
      <c r="B9" s="19" t="n">
        <v>5672</v>
      </c>
      <c r="C9" s="16" t="n">
        <v>107</v>
      </c>
      <c r="D9" s="16" t="n">
        <v>29</v>
      </c>
      <c r="E9" s="16" t="n">
        <v>16</v>
      </c>
      <c r="F9" s="16" t="n">
        <v>55</v>
      </c>
      <c r="G9" s="19" t="n">
        <v>5536</v>
      </c>
    </row>
    <row r="10">
      <c r="A10" s="18" t="n">
        <v>46243</v>
      </c>
      <c r="B10" s="19" t="n">
        <v>5875</v>
      </c>
      <c r="C10" s="16" t="n">
        <v>98</v>
      </c>
      <c r="D10" s="16" t="n">
        <v>30</v>
      </c>
      <c r="E10" s="16" t="n">
        <v>14</v>
      </c>
      <c r="F10" s="16" t="n">
        <v>58</v>
      </c>
      <c r="G10" s="19" t="n">
        <v>5747</v>
      </c>
    </row>
    <row r="11">
      <c r="A11" s="18" t="n">
        <v>46244</v>
      </c>
      <c r="B11" s="19" t="n">
        <v>10771</v>
      </c>
      <c r="C11" s="16" t="n">
        <v>219</v>
      </c>
      <c r="D11" s="16" t="n">
        <v>53</v>
      </c>
      <c r="E11" s="16" t="n">
        <v>37</v>
      </c>
      <c r="F11" s="16" t="n">
        <v>111</v>
      </c>
      <c r="G11" s="19" t="n">
        <v>10499</v>
      </c>
    </row>
    <row r="12">
      <c r="A12" s="18" t="n">
        <v>46245</v>
      </c>
      <c r="B12" s="19" t="n">
        <v>10434</v>
      </c>
      <c r="C12" s="16" t="n">
        <v>201</v>
      </c>
      <c r="D12" s="16" t="n">
        <v>53</v>
      </c>
      <c r="E12" s="16" t="n">
        <v>24</v>
      </c>
      <c r="F12" s="16" t="n">
        <v>101</v>
      </c>
      <c r="G12" s="19" t="n">
        <v>10180</v>
      </c>
    </row>
    <row r="13">
      <c r="A13" s="18" t="n">
        <v>46246</v>
      </c>
      <c r="B13" s="19" t="n">
        <v>10426</v>
      </c>
      <c r="C13" s="16" t="n">
        <v>210</v>
      </c>
      <c r="D13" s="16" t="n">
        <v>62</v>
      </c>
      <c r="E13" s="16" t="n">
        <v>22</v>
      </c>
      <c r="F13" s="16" t="n">
        <v>109</v>
      </c>
      <c r="G13" s="19" t="n">
        <v>10154</v>
      </c>
    </row>
    <row r="14">
      <c r="A14" s="18" t="n">
        <v>46247</v>
      </c>
      <c r="B14" s="19" t="n">
        <v>10806</v>
      </c>
      <c r="C14" s="16" t="n">
        <v>225</v>
      </c>
      <c r="D14" s="16" t="n">
        <v>44</v>
      </c>
      <c r="E14" s="16" t="n">
        <v>22</v>
      </c>
      <c r="F14" s="16" t="n">
        <v>110</v>
      </c>
      <c r="G14" s="19" t="n">
        <v>10537</v>
      </c>
    </row>
    <row r="15">
      <c r="A15" s="18" t="n">
        <v>46248</v>
      </c>
      <c r="B15" s="19" t="n">
        <v>10523</v>
      </c>
      <c r="C15" s="16" t="n">
        <v>216</v>
      </c>
      <c r="D15" s="16" t="n">
        <v>62</v>
      </c>
      <c r="E15" s="16" t="n">
        <v>38</v>
      </c>
      <c r="F15" s="16" t="n">
        <v>95</v>
      </c>
      <c r="G15" s="19" t="n">
        <v>10245</v>
      </c>
    </row>
    <row r="16">
      <c r="A16" s="18" t="n">
        <v>46249</v>
      </c>
      <c r="B16" s="19" t="n">
        <v>5301</v>
      </c>
      <c r="C16" s="16" t="n">
        <v>102</v>
      </c>
      <c r="D16" s="16" t="n">
        <v>23</v>
      </c>
      <c r="E16" s="16" t="n">
        <v>4</v>
      </c>
      <c r="F16" s="16" t="n">
        <v>30</v>
      </c>
      <c r="G16" s="19" t="n">
        <v>5176</v>
      </c>
    </row>
    <row r="17">
      <c r="A17" s="18" t="n">
        <v>46250</v>
      </c>
      <c r="B17" s="19" t="n">
        <v>5836</v>
      </c>
      <c r="C17" s="16" t="n">
        <v>104</v>
      </c>
      <c r="D17" s="16" t="n">
        <v>24</v>
      </c>
      <c r="E17" s="16" t="n">
        <v>17</v>
      </c>
      <c r="F17" s="16" t="n">
        <v>57</v>
      </c>
      <c r="G17" s="19" t="n">
        <v>5708</v>
      </c>
    </row>
    <row r="18">
      <c r="A18" s="18" t="n">
        <v>46251</v>
      </c>
      <c r="B18" s="19" t="n">
        <v>11116</v>
      </c>
      <c r="C18" s="16" t="n">
        <v>232</v>
      </c>
      <c r="D18" s="16" t="n">
        <v>61</v>
      </c>
      <c r="E18" s="16" t="n">
        <v>30</v>
      </c>
      <c r="F18" s="16" t="n">
        <v>92</v>
      </c>
      <c r="G18" s="19" t="n">
        <v>10823</v>
      </c>
    </row>
    <row r="19">
      <c r="A19" s="18" t="n">
        <v>46252</v>
      </c>
      <c r="B19" s="19" t="n">
        <v>10612</v>
      </c>
      <c r="C19" s="16" t="n">
        <v>208</v>
      </c>
      <c r="D19" s="16" t="n">
        <v>53</v>
      </c>
      <c r="E19" s="16" t="n">
        <v>26</v>
      </c>
      <c r="F19" s="16" t="n">
        <v>108</v>
      </c>
      <c r="G19" s="19" t="n">
        <v>10351</v>
      </c>
    </row>
    <row r="20">
      <c r="A20" s="18" t="n">
        <v>46253</v>
      </c>
      <c r="B20" s="19" t="n">
        <v>11098</v>
      </c>
      <c r="C20" s="16" t="n">
        <v>207</v>
      </c>
      <c r="D20" s="16" t="n">
        <v>52</v>
      </c>
      <c r="E20" s="16" t="n">
        <v>31</v>
      </c>
      <c r="F20" s="16" t="n">
        <v>88</v>
      </c>
      <c r="G20" s="19" t="n">
        <v>10839</v>
      </c>
    </row>
    <row r="21">
      <c r="A21" s="18" t="n">
        <v>46254</v>
      </c>
      <c r="B21" s="19" t="n">
        <v>11095</v>
      </c>
      <c r="C21" s="16" t="n">
        <v>213</v>
      </c>
      <c r="D21" s="16" t="n">
        <v>48</v>
      </c>
      <c r="E21" s="16" t="n">
        <v>27</v>
      </c>
      <c r="F21" s="16" t="n">
        <v>97</v>
      </c>
      <c r="G21" s="19" t="n">
        <v>10834</v>
      </c>
    </row>
    <row r="22">
      <c r="A22" s="18" t="n">
        <v>46255</v>
      </c>
      <c r="B22" s="19" t="n">
        <v>10520</v>
      </c>
      <c r="C22" s="16" t="n">
        <v>208</v>
      </c>
      <c r="D22" s="16" t="n">
        <v>49</v>
      </c>
      <c r="E22" s="16" t="n">
        <v>36</v>
      </c>
      <c r="F22" s="16" t="n">
        <v>105</v>
      </c>
      <c r="G22" s="19" t="n">
        <v>10263</v>
      </c>
    </row>
    <row r="23">
      <c r="A23" s="18" t="n">
        <v>46256</v>
      </c>
      <c r="B23" s="19" t="n">
        <v>6017</v>
      </c>
      <c r="C23" s="16" t="n">
        <v>126</v>
      </c>
      <c r="D23" s="16" t="n">
        <v>19</v>
      </c>
      <c r="E23" s="16" t="n">
        <v>13</v>
      </c>
      <c r="F23" s="16" t="n">
        <v>57</v>
      </c>
      <c r="G23" s="19" t="n">
        <v>5872</v>
      </c>
    </row>
    <row r="24">
      <c r="A24" s="18" t="n">
        <v>46257</v>
      </c>
      <c r="B24" s="19" t="n">
        <v>6204</v>
      </c>
      <c r="C24" s="16" t="n">
        <v>136</v>
      </c>
      <c r="D24" s="16" t="n">
        <v>31</v>
      </c>
      <c r="E24" s="16" t="n">
        <v>20</v>
      </c>
      <c r="F24" s="16" t="n">
        <v>53</v>
      </c>
      <c r="G24" s="19" t="n">
        <v>6037</v>
      </c>
    </row>
    <row r="25">
      <c r="A25" s="18" t="n">
        <v>46258</v>
      </c>
      <c r="B25" s="19" t="n">
        <v>10851</v>
      </c>
      <c r="C25" s="16" t="n">
        <v>224</v>
      </c>
      <c r="D25" s="16" t="n">
        <v>47</v>
      </c>
      <c r="E25" s="16" t="n">
        <v>27</v>
      </c>
      <c r="F25" s="16" t="n">
        <v>105</v>
      </c>
      <c r="G25" s="19" t="n">
        <v>10580</v>
      </c>
    </row>
    <row r="26">
      <c r="A26" s="18" t="n">
        <v>46259</v>
      </c>
      <c r="B26" s="19" t="n">
        <v>10377</v>
      </c>
      <c r="C26" s="16" t="n">
        <v>205</v>
      </c>
      <c r="D26" s="16" t="n">
        <v>53</v>
      </c>
      <c r="E26" s="16" t="n">
        <v>37</v>
      </c>
      <c r="F26" s="16" t="n">
        <v>101</v>
      </c>
      <c r="G26" s="19" t="n">
        <v>10119</v>
      </c>
    </row>
    <row r="27">
      <c r="A27" s="18" t="n">
        <v>46260</v>
      </c>
      <c r="B27" s="19" t="n">
        <v>10404</v>
      </c>
      <c r="C27" s="16" t="n">
        <v>234</v>
      </c>
      <c r="D27" s="16" t="n">
        <v>55</v>
      </c>
      <c r="E27" s="16" t="n">
        <v>33</v>
      </c>
      <c r="F27" s="16" t="n">
        <v>90</v>
      </c>
      <c r="G27" s="19" t="n">
        <v>10115</v>
      </c>
    </row>
    <row r="28">
      <c r="A28" s="18" t="n">
        <v>46261</v>
      </c>
      <c r="B28" s="19" t="n">
        <v>10061</v>
      </c>
      <c r="C28" s="16" t="n">
        <v>190</v>
      </c>
      <c r="D28" s="16" t="n">
        <v>52</v>
      </c>
      <c r="E28" s="16" t="n">
        <v>31</v>
      </c>
      <c r="F28" s="16" t="n">
        <v>93</v>
      </c>
      <c r="G28" s="19" t="n">
        <v>9819</v>
      </c>
    </row>
    <row r="29">
      <c r="A29" s="18" t="n">
        <v>46262</v>
      </c>
      <c r="B29" s="19" t="n">
        <v>10106</v>
      </c>
      <c r="C29" s="16" t="n">
        <v>190</v>
      </c>
      <c r="D29" s="16" t="n">
        <v>50</v>
      </c>
      <c r="E29" s="16" t="n">
        <v>24</v>
      </c>
      <c r="F29" s="16" t="n">
        <v>103</v>
      </c>
      <c r="G29" s="19" t="n">
        <v>9866</v>
      </c>
    </row>
    <row r="30">
      <c r="A30" s="18" t="n">
        <v>46263</v>
      </c>
      <c r="B30" s="19" t="n">
        <v>5577</v>
      </c>
      <c r="C30" s="16" t="n">
        <v>110</v>
      </c>
      <c r="D30" s="16" t="n">
        <v>26</v>
      </c>
      <c r="E30" s="16" t="n">
        <v>17</v>
      </c>
      <c r="F30" s="16" t="n">
        <v>47</v>
      </c>
      <c r="G30" s="19" t="n">
        <v>5441</v>
      </c>
    </row>
    <row r="31">
      <c r="A31" s="18" t="n">
        <v>46264</v>
      </c>
      <c r="B31" s="19" t="n">
        <v>6115</v>
      </c>
      <c r="C31" s="16" t="n">
        <v>109</v>
      </c>
      <c r="D31" s="16" t="n">
        <v>22</v>
      </c>
      <c r="E31" s="16" t="n">
        <v>25</v>
      </c>
      <c r="F31" s="16" t="n">
        <v>47</v>
      </c>
      <c r="G31" s="19" t="n">
        <v>5984</v>
      </c>
    </row>
    <row r="32">
      <c r="A32" s="18" t="n">
        <v>46265</v>
      </c>
      <c r="B32" s="19" t="n">
        <v>10061</v>
      </c>
      <c r="C32" s="16" t="n">
        <v>176</v>
      </c>
      <c r="D32" s="16" t="n">
        <v>38</v>
      </c>
      <c r="E32" s="16" t="n">
        <v>25</v>
      </c>
      <c r="F32" s="16" t="n">
        <v>107</v>
      </c>
      <c r="G32" s="19" t="n">
        <v>9847</v>
      </c>
    </row>
    <row r="33">
      <c r="A33" s="18" t="n">
        <v>46266</v>
      </c>
      <c r="B33" s="19" t="n">
        <v>10908</v>
      </c>
      <c r="C33" s="16" t="n">
        <v>190</v>
      </c>
      <c r="D33" s="16" t="n">
        <v>59</v>
      </c>
      <c r="E33" s="16" t="n">
        <v>31</v>
      </c>
      <c r="F33" s="16" t="n">
        <v>97</v>
      </c>
      <c r="G33" s="19" t="n">
        <v>10659</v>
      </c>
    </row>
    <row r="34">
      <c r="A34" s="18" t="n">
        <v>46267</v>
      </c>
      <c r="B34" s="19" t="n">
        <v>10557</v>
      </c>
      <c r="C34" s="16" t="n">
        <v>247</v>
      </c>
      <c r="D34" s="16" t="n">
        <v>46</v>
      </c>
      <c r="E34" s="16" t="n">
        <v>26</v>
      </c>
      <c r="F34" s="16" t="n">
        <v>116</v>
      </c>
      <c r="G34" s="19" t="n">
        <v>10264</v>
      </c>
    </row>
    <row r="35">
      <c r="A35" s="18" t="n">
        <v>46268</v>
      </c>
      <c r="B35" s="19" t="n">
        <v>10543</v>
      </c>
      <c r="C35" s="16" t="n">
        <v>222</v>
      </c>
      <c r="D35" s="16" t="n">
        <v>51</v>
      </c>
      <c r="E35" s="16" t="n">
        <v>22</v>
      </c>
      <c r="F35" s="16" t="n">
        <v>101</v>
      </c>
      <c r="G35" s="19" t="n">
        <v>10270</v>
      </c>
    </row>
    <row r="36">
      <c r="A36" s="18" t="n">
        <v>46269</v>
      </c>
      <c r="B36" s="19" t="n">
        <v>11065</v>
      </c>
      <c r="C36" s="16" t="n">
        <v>238</v>
      </c>
      <c r="D36" s="16" t="n">
        <v>51</v>
      </c>
      <c r="E36" s="16" t="n">
        <v>42</v>
      </c>
      <c r="F36" s="16" t="n">
        <v>112</v>
      </c>
      <c r="G36" s="19" t="n">
        <v>10776</v>
      </c>
    </row>
    <row r="37">
      <c r="A37" s="18" t="n">
        <v>46270</v>
      </c>
      <c r="B37" s="19" t="n">
        <v>5802</v>
      </c>
      <c r="C37" s="16" t="n">
        <v>114</v>
      </c>
      <c r="D37" s="16" t="n">
        <v>24</v>
      </c>
      <c r="E37" s="16" t="n">
        <v>12</v>
      </c>
      <c r="F37" s="16" t="n">
        <v>46</v>
      </c>
      <c r="G37" s="19" t="n">
        <v>5664</v>
      </c>
    </row>
    <row r="38">
      <c r="A38" s="18" t="n">
        <v>46271</v>
      </c>
      <c r="B38" s="19" t="n">
        <v>6018</v>
      </c>
      <c r="C38" s="16" t="n">
        <v>126</v>
      </c>
      <c r="D38" s="16" t="n">
        <v>36</v>
      </c>
      <c r="E38" s="16" t="n">
        <v>23</v>
      </c>
      <c r="F38" s="16" t="n">
        <v>51</v>
      </c>
      <c r="G38" s="19" t="n">
        <v>5856</v>
      </c>
    </row>
    <row r="39">
      <c r="A39" s="18" t="n">
        <v>46272</v>
      </c>
      <c r="B39" s="19" t="n">
        <v>10878</v>
      </c>
      <c r="C39" s="16" t="n">
        <v>236</v>
      </c>
      <c r="D39" s="16" t="n">
        <v>53</v>
      </c>
      <c r="E39" s="16" t="n">
        <v>36</v>
      </c>
      <c r="F39" s="16" t="n">
        <v>109</v>
      </c>
      <c r="G39" s="19" t="n">
        <v>10589</v>
      </c>
    </row>
    <row r="40">
      <c r="A40" s="18" t="n">
        <v>46273</v>
      </c>
      <c r="B40" s="19" t="n">
        <v>10859</v>
      </c>
      <c r="C40" s="16" t="n">
        <v>218</v>
      </c>
      <c r="D40" s="16" t="n">
        <v>67</v>
      </c>
      <c r="E40" s="16" t="n">
        <v>35</v>
      </c>
      <c r="F40" s="16" t="n">
        <v>91</v>
      </c>
      <c r="G40" s="19" t="n">
        <v>10574</v>
      </c>
    </row>
    <row r="41">
      <c r="A41" s="18" t="n">
        <v>46274</v>
      </c>
      <c r="B41" s="19" t="n">
        <v>10588</v>
      </c>
      <c r="C41" s="16" t="n">
        <v>193</v>
      </c>
      <c r="D41" s="16" t="n">
        <v>47</v>
      </c>
      <c r="E41" s="16" t="n">
        <v>38</v>
      </c>
      <c r="F41" s="16" t="n">
        <v>100</v>
      </c>
      <c r="G41" s="19" t="n">
        <v>10348</v>
      </c>
    </row>
    <row r="42">
      <c r="A42" s="18" t="n">
        <v>46275</v>
      </c>
      <c r="B42" s="19" t="n">
        <v>10949</v>
      </c>
      <c r="C42" s="16" t="n">
        <v>228</v>
      </c>
      <c r="D42" s="16" t="n">
        <v>55</v>
      </c>
      <c r="E42" s="16" t="n">
        <v>29</v>
      </c>
      <c r="F42" s="16" t="n">
        <v>124</v>
      </c>
      <c r="G42" s="19" t="n">
        <v>10666</v>
      </c>
    </row>
    <row r="43">
      <c r="A43" s="18" t="n">
        <v>46276</v>
      </c>
      <c r="B43" s="19" t="n">
        <v>11094</v>
      </c>
      <c r="C43" s="16" t="n">
        <v>211</v>
      </c>
      <c r="D43" s="16" t="n">
        <v>48</v>
      </c>
      <c r="E43" s="16" t="n">
        <v>36</v>
      </c>
      <c r="F43" s="16" t="n">
        <v>104</v>
      </c>
      <c r="G43" s="19" t="n">
        <v>10835</v>
      </c>
    </row>
    <row r="44">
      <c r="A44" s="18" t="n">
        <v>46277</v>
      </c>
      <c r="B44" s="19" t="n">
        <v>5815</v>
      </c>
      <c r="C44" s="16" t="n">
        <v>101</v>
      </c>
      <c r="D44" s="16" t="n">
        <v>27</v>
      </c>
      <c r="E44" s="16" t="n">
        <v>18</v>
      </c>
      <c r="F44" s="16" t="n">
        <v>63</v>
      </c>
      <c r="G44" s="19" t="n">
        <v>5687</v>
      </c>
    </row>
    <row r="45">
      <c r="A45" s="18" t="n">
        <v>46278</v>
      </c>
      <c r="B45" s="19" t="n">
        <v>5927</v>
      </c>
      <c r="C45" s="16" t="n">
        <v>125</v>
      </c>
      <c r="D45" s="16" t="n">
        <v>31</v>
      </c>
      <c r="E45" s="16" t="n">
        <v>10</v>
      </c>
      <c r="F45" s="16" t="n">
        <v>57</v>
      </c>
      <c r="G45" s="19" t="n">
        <v>5771</v>
      </c>
    </row>
    <row r="46">
      <c r="A46" s="18" t="n">
        <v>46279</v>
      </c>
      <c r="B46" s="19" t="n">
        <v>10433</v>
      </c>
      <c r="C46" s="16" t="n">
        <v>223</v>
      </c>
      <c r="D46" s="16" t="n">
        <v>49</v>
      </c>
      <c r="E46" s="16" t="n">
        <v>26</v>
      </c>
      <c r="F46" s="16" t="n">
        <v>109</v>
      </c>
      <c r="G46" s="19" t="n">
        <v>10161</v>
      </c>
    </row>
    <row r="47">
      <c r="A47" s="18" t="n">
        <v>46280</v>
      </c>
      <c r="B47" s="19" t="n">
        <v>11308</v>
      </c>
      <c r="C47" s="16" t="n">
        <v>222</v>
      </c>
      <c r="D47" s="16" t="n">
        <v>61</v>
      </c>
      <c r="E47" s="16" t="n">
        <v>29</v>
      </c>
      <c r="F47" s="16" t="n">
        <v>128</v>
      </c>
      <c r="G47" s="19" t="n">
        <v>11025</v>
      </c>
    </row>
    <row r="48">
      <c r="A48" s="18" t="n">
        <v>46281</v>
      </c>
      <c r="B48" s="19" t="n">
        <v>10867</v>
      </c>
      <c r="C48" s="16" t="n">
        <v>215</v>
      </c>
      <c r="D48" s="16" t="n">
        <v>70</v>
      </c>
      <c r="E48" s="16" t="n">
        <v>24</v>
      </c>
      <c r="F48" s="16" t="n">
        <v>100</v>
      </c>
      <c r="G48" s="19" t="n">
        <v>10582</v>
      </c>
    </row>
    <row r="49">
      <c r="A49" s="18" t="n">
        <v>46282</v>
      </c>
      <c r="B49" s="19" t="n">
        <v>10455</v>
      </c>
      <c r="C49" s="16" t="n">
        <v>219</v>
      </c>
      <c r="D49" s="16" t="n">
        <v>52</v>
      </c>
      <c r="E49" s="16" t="n">
        <v>31</v>
      </c>
      <c r="F49" s="16" t="n">
        <v>101</v>
      </c>
      <c r="G49" s="19" t="n">
        <v>10184</v>
      </c>
    </row>
    <row r="50">
      <c r="A50" s="18" t="n">
        <v>46283</v>
      </c>
      <c r="B50" s="19" t="n">
        <v>10463</v>
      </c>
      <c r="C50" s="16" t="n">
        <v>209</v>
      </c>
      <c r="D50" s="16" t="n">
        <v>50</v>
      </c>
      <c r="E50" s="16" t="n">
        <v>32</v>
      </c>
      <c r="F50" s="16" t="n">
        <v>84</v>
      </c>
      <c r="G50" s="19" t="n">
        <v>10204</v>
      </c>
    </row>
    <row r="51">
      <c r="A51" s="18" t="n">
        <v>46284</v>
      </c>
      <c r="B51" s="19" t="n">
        <v>5100</v>
      </c>
      <c r="C51" s="16" t="n">
        <v>112</v>
      </c>
      <c r="D51" s="16" t="n">
        <v>15</v>
      </c>
      <c r="E51" s="16" t="n">
        <v>17</v>
      </c>
      <c r="F51" s="16" t="n">
        <v>44</v>
      </c>
      <c r="G51" s="19" t="n">
        <v>4973</v>
      </c>
    </row>
    <row r="52">
      <c r="A52" s="18" t="n">
        <v>46285</v>
      </c>
      <c r="B52" s="19" t="n">
        <v>5432</v>
      </c>
      <c r="C52" s="16" t="n">
        <v>106</v>
      </c>
      <c r="D52" s="16" t="n">
        <v>34</v>
      </c>
      <c r="E52" s="16" t="n">
        <v>12</v>
      </c>
      <c r="F52" s="16" t="n">
        <v>63</v>
      </c>
      <c r="G52" s="19" t="n">
        <v>5292</v>
      </c>
    </row>
    <row r="53">
      <c r="A53" s="18" t="n">
        <v>46286</v>
      </c>
      <c r="B53" s="19" t="n">
        <v>10907</v>
      </c>
      <c r="C53" s="16" t="n">
        <v>212</v>
      </c>
      <c r="D53" s="16" t="n">
        <v>42</v>
      </c>
      <c r="E53" s="16" t="n">
        <v>40</v>
      </c>
      <c r="F53" s="16" t="n">
        <v>94</v>
      </c>
      <c r="G53" s="19" t="n">
        <v>10653</v>
      </c>
    </row>
    <row r="54">
      <c r="A54" s="18" t="n">
        <v>46287</v>
      </c>
      <c r="B54" s="19" t="n">
        <v>10467</v>
      </c>
      <c r="C54" s="16" t="n">
        <v>213</v>
      </c>
      <c r="D54" s="16" t="n">
        <v>49</v>
      </c>
      <c r="E54" s="16" t="n">
        <v>35</v>
      </c>
      <c r="F54" s="16" t="n">
        <v>92</v>
      </c>
      <c r="G54" s="19" t="n">
        <v>10205</v>
      </c>
    </row>
    <row r="55">
      <c r="A55" s="18" t="n">
        <v>46288</v>
      </c>
      <c r="B55" s="19" t="n">
        <v>10704</v>
      </c>
      <c r="C55" s="16" t="n">
        <v>205</v>
      </c>
      <c r="D55" s="16" t="n">
        <v>44</v>
      </c>
      <c r="E55" s="16" t="n">
        <v>28</v>
      </c>
      <c r="F55" s="16" t="n">
        <v>96</v>
      </c>
      <c r="G55" s="19" t="n">
        <v>10455</v>
      </c>
    </row>
    <row r="56">
      <c r="A56" s="18" t="n">
        <v>46289</v>
      </c>
      <c r="B56" s="19" t="n">
        <v>9778</v>
      </c>
      <c r="C56" s="16" t="n">
        <v>191</v>
      </c>
      <c r="D56" s="16" t="n">
        <v>53</v>
      </c>
      <c r="E56" s="16" t="n">
        <v>38</v>
      </c>
      <c r="F56" s="16" t="n">
        <v>89</v>
      </c>
      <c r="G56" s="19" t="n">
        <v>9534</v>
      </c>
    </row>
    <row r="57">
      <c r="A57" s="18" t="n">
        <v>46290</v>
      </c>
      <c r="B57" s="19" t="n">
        <v>10978</v>
      </c>
      <c r="C57" s="16" t="n">
        <v>241</v>
      </c>
      <c r="D57" s="16" t="n">
        <v>53</v>
      </c>
      <c r="E57" s="16" t="n">
        <v>43</v>
      </c>
      <c r="F57" s="16" t="n">
        <v>92</v>
      </c>
      <c r="G57" s="19" t="n">
        <v>10684</v>
      </c>
    </row>
    <row r="58">
      <c r="A58" s="18" t="n">
        <v>46291</v>
      </c>
      <c r="B58" s="19" t="n">
        <v>5584</v>
      </c>
      <c r="C58" s="16" t="n">
        <v>124</v>
      </c>
      <c r="D58" s="16" t="n">
        <v>31</v>
      </c>
      <c r="E58" s="16" t="n">
        <v>13</v>
      </c>
      <c r="F58" s="16" t="n">
        <v>51</v>
      </c>
      <c r="G58" s="19" t="n">
        <v>5429</v>
      </c>
    </row>
    <row r="59">
      <c r="A59" s="18" t="n">
        <v>46292</v>
      </c>
      <c r="B59" s="19" t="n">
        <v>5824</v>
      </c>
      <c r="C59" s="16" t="n">
        <v>116</v>
      </c>
      <c r="D59" s="16" t="n">
        <v>24</v>
      </c>
      <c r="E59" s="16" t="n">
        <v>24</v>
      </c>
      <c r="F59" s="16" t="n">
        <v>57</v>
      </c>
      <c r="G59" s="19" t="n">
        <v>5684</v>
      </c>
    </row>
    <row r="60">
      <c r="A60" s="18" t="n">
        <v>46293</v>
      </c>
      <c r="B60" s="19" t="n">
        <v>10506</v>
      </c>
      <c r="C60" s="16" t="n">
        <v>197</v>
      </c>
      <c r="D60" s="16" t="n">
        <v>58</v>
      </c>
      <c r="E60" s="16" t="n">
        <v>35</v>
      </c>
      <c r="F60" s="16" t="n">
        <v>104</v>
      </c>
      <c r="G60" s="19" t="n">
        <v>10251</v>
      </c>
    </row>
    <row r="61">
      <c r="A61" s="18" t="n">
        <v>46294</v>
      </c>
      <c r="B61" s="19" t="n">
        <v>10392</v>
      </c>
      <c r="C61" s="16" t="n">
        <v>172</v>
      </c>
      <c r="D61" s="16" t="n">
        <v>56</v>
      </c>
      <c r="E61" s="16" t="n">
        <v>32</v>
      </c>
      <c r="F61" s="16" t="n">
        <v>104</v>
      </c>
      <c r="G61" s="19" t="n">
        <v>10164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2026-10-25T06:04:02Z</dcterms:created>
  <dcterms:modified xmlns:dcterms="http://purl.org/dc/terms/" xmlns:xsi="http://www.w3.org/2001/XMLSchema-instance" xsi:type="dcterms:W3CDTF">2026-10-25T06:04:02Z</dcterms:modified>
</cp:coreProperties>
</file>